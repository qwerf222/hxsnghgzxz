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00" windowHeight="15120"/>
  </bookViews>
  <sheets>
    <sheet name="Sheet1 (2)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<sst xmlns="http://schemas.openxmlformats.org/spreadsheetml/2006/main" count="715" uniqueCount="163">
  <si>
    <t>战士</t>
  </si>
  <si>
    <t>生灵</t>
  </si>
  <si>
    <t>地系</t>
  </si>
  <si>
    <t>平原</t>
  </si>
  <si>
    <t>射手</t>
  </si>
  <si>
    <t>魔灵</t>
  </si>
  <si>
    <t>水系</t>
  </si>
  <si>
    <t>雪原</t>
  </si>
  <si>
    <t>在橙色格子里填入每日公招标签，可筛选出符合角色</t>
  </si>
  <si>
    <t>法师</t>
  </si>
  <si>
    <t>器灵</t>
  </si>
  <si>
    <t>暗系</t>
  </si>
  <si>
    <t>森林</t>
  </si>
  <si>
    <t>牧师</t>
  </si>
  <si>
    <t>亡灵</t>
  </si>
  <si>
    <t>火系</t>
  </si>
  <si>
    <t>山脉</t>
  </si>
  <si>
    <t>海洋</t>
  </si>
  <si>
    <t>神灵</t>
  </si>
  <si>
    <t>光系</t>
  </si>
  <si>
    <t>风系</t>
  </si>
  <si>
    <t>沙滩</t>
  </si>
  <si>
    <t>星界</t>
  </si>
  <si>
    <t>沙漠</t>
  </si>
  <si>
    <t>角色</t>
  </si>
  <si>
    <t>标签1</t>
  </si>
  <si>
    <t>标签2</t>
  </si>
  <si>
    <t>标签3</t>
  </si>
  <si>
    <t>标签4</t>
  </si>
  <si>
    <t>辅助列</t>
  </si>
  <si>
    <t>星级</t>
  </si>
  <si>
    <t>满足1</t>
  </si>
  <si>
    <t>满足2</t>
  </si>
  <si>
    <t>满足3</t>
  </si>
  <si>
    <t>满足4</t>
  </si>
  <si>
    <t>鱼人祭司</t>
  </si>
  <si>
    <t>银鳞鲛姬</t>
  </si>
  <si>
    <t>幽灵枪手</t>
  </si>
  <si>
    <t>蓝鲨教官</t>
  </si>
  <si>
    <t>银鳞守卫</t>
  </si>
  <si>
    <t>幽灵水手</t>
  </si>
  <si>
    <t>鱼人哨兵</t>
  </si>
  <si>
    <t>鱼人战士</t>
  </si>
  <si>
    <t>哥布林法师</t>
  </si>
  <si>
    <t>狼族先知</t>
  </si>
  <si>
    <t>星象法师</t>
  </si>
  <si>
    <t>军团祭司</t>
  </si>
  <si>
    <t>兵蜂猎手</t>
  </si>
  <si>
    <t>哥布林猎手</t>
  </si>
  <si>
    <t>军团射手</t>
  </si>
  <si>
    <t>狼族猎手</t>
  </si>
  <si>
    <t>兵蜂战士</t>
  </si>
  <si>
    <t>哥布林哨兵</t>
  </si>
  <si>
    <t>哥布林战士</t>
  </si>
  <si>
    <t>巨力少女</t>
  </si>
  <si>
    <t>军团哨兵</t>
  </si>
  <si>
    <t>狼灵战士</t>
  </si>
  <si>
    <t>闪灵少女</t>
  </si>
  <si>
    <t>鹰身少女</t>
  </si>
  <si>
    <t>迷失之魂</t>
  </si>
  <si>
    <t>史莱姆法师</t>
  </si>
  <si>
    <t>学院学徒</t>
  </si>
  <si>
    <t>史莱姆牧师</t>
  </si>
  <si>
    <t>史莱姆侍女</t>
  </si>
  <si>
    <t>学院牧师</t>
  </si>
  <si>
    <t>妖精弓灵</t>
  </si>
  <si>
    <t>野猫猎手</t>
  </si>
  <si>
    <t>沉默猎手</t>
  </si>
  <si>
    <t>史莱姆战士</t>
  </si>
  <si>
    <t>树人守卫</t>
  </si>
  <si>
    <t>武者学徒</t>
  </si>
  <si>
    <t>贝壳少女</t>
  </si>
  <si>
    <t>水族士兵</t>
  </si>
  <si>
    <t>蓝灵菇娘</t>
  </si>
  <si>
    <t>白银歌姬</t>
  </si>
  <si>
    <t>迷幻菇娘</t>
  </si>
  <si>
    <t>孢子射手</t>
  </si>
  <si>
    <t>巨魔投手</t>
  </si>
  <si>
    <t>矿洞采集者</t>
  </si>
  <si>
    <t>孢子卫士</t>
  </si>
  <si>
    <t>大探险家</t>
  </si>
  <si>
    <t>巨魔守卫</t>
  </si>
  <si>
    <t>矿洞淘金者</t>
  </si>
  <si>
    <t>游荡人偶</t>
  </si>
  <si>
    <t>荒漠盗贼</t>
  </si>
  <si>
    <t>荒漠猎手</t>
  </si>
  <si>
    <t>荒漠守卫</t>
  </si>
  <si>
    <t>遗迹猎人</t>
  </si>
  <si>
    <t>流水法师</t>
  </si>
  <si>
    <t>娜迦射手</t>
  </si>
  <si>
    <t>波涛守卫</t>
  </si>
  <si>
    <t>幽灵大副</t>
  </si>
  <si>
    <t>啵啵</t>
  </si>
  <si>
    <t>飓风使者</t>
  </si>
  <si>
    <t>哥布林祭祀</t>
  </si>
  <si>
    <t>蛮牛祭司</t>
  </si>
  <si>
    <t>战争祭司</t>
  </si>
  <si>
    <t>招财</t>
  </si>
  <si>
    <t>诡秘之影</t>
  </si>
  <si>
    <t>狼灵射手</t>
  </si>
  <si>
    <t>奶糖</t>
  </si>
  <si>
    <t>恶狼勇士</t>
  </si>
  <si>
    <t>胡椒</t>
  </si>
  <si>
    <t>荒野兽王</t>
  </si>
  <si>
    <t>疾行闪光</t>
  </si>
  <si>
    <t>军团铁骑</t>
  </si>
  <si>
    <t>狂风战士</t>
  </si>
  <si>
    <t>蛮牛剑豪</t>
  </si>
  <si>
    <t>狩猎勇士</t>
  </si>
  <si>
    <t>古树妖精</t>
  </si>
  <si>
    <t>魂能法师</t>
  </si>
  <si>
    <t>荆棘树妖</t>
  </si>
  <si>
    <t>魔术侍从</t>
  </si>
  <si>
    <t>学院导师</t>
  </si>
  <si>
    <t>植物学者</t>
  </si>
  <si>
    <t>丛林猎手</t>
  </si>
  <si>
    <t>巨大史莱姆</t>
  </si>
  <si>
    <t>迷失盾灵</t>
  </si>
  <si>
    <t>破碎剑灵</t>
  </si>
  <si>
    <t>牧渔少女</t>
  </si>
  <si>
    <t>椰树投手</t>
  </si>
  <si>
    <t>水族统领</t>
  </si>
  <si>
    <t>鱼人先锋</t>
  </si>
  <si>
    <t>孢子女巫</t>
  </si>
  <si>
    <t>翡翠魔偶</t>
  </si>
  <si>
    <t>巨魔监工</t>
  </si>
  <si>
    <t>绿伞菇娘</t>
  </si>
  <si>
    <t>爆炸菇娘</t>
  </si>
  <si>
    <t>鎏金射手</t>
  </si>
  <si>
    <t>火焰女妖</t>
  </si>
  <si>
    <t>巨岩炮手</t>
  </si>
  <si>
    <t>岩石守卫</t>
  </si>
  <si>
    <t>星界守卫</t>
  </si>
  <si>
    <t>荒野猎人</t>
  </si>
  <si>
    <t>佣兵枪手</t>
  </si>
  <si>
    <t>日耀祭司</t>
  </si>
  <si>
    <t>月影祭司</t>
  </si>
  <si>
    <t>宁静水灵</t>
  </si>
  <si>
    <t>幽灵船长</t>
  </si>
  <si>
    <t>地灵使者</t>
  </si>
  <si>
    <t>黄蜂魔女</t>
  </si>
  <si>
    <t>风行游侠</t>
  </si>
  <si>
    <t>鹰身公主</t>
  </si>
  <si>
    <t>军团统领</t>
  </si>
  <si>
    <t>蛮牛勇士</t>
  </si>
  <si>
    <t>魔术大师</t>
  </si>
  <si>
    <t>史莱姆王</t>
  </si>
  <si>
    <t>林中仙女</t>
  </si>
  <si>
    <t>圣剑之灵</t>
  </si>
  <si>
    <t>淘气恶魔</t>
  </si>
  <si>
    <t>幽暗龙女</t>
  </si>
  <si>
    <t>荒漠猫娘</t>
  </si>
  <si>
    <t>巨灵之枪</t>
  </si>
  <si>
    <t>无暇贤者</t>
  </si>
  <si>
    <t>辰龙</t>
  </si>
  <si>
    <t>大地魔女</t>
  </si>
  <si>
    <t>水晶菇娘</t>
  </si>
  <si>
    <t>核心魔偶</t>
  </si>
  <si>
    <t>黄金之女</t>
  </si>
  <si>
    <t>星界邪神</t>
  </si>
  <si>
    <t>星灵射手</t>
  </si>
  <si>
    <t>雪人骑士</t>
  </si>
  <si>
    <t>冰蛛女王（限定）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</si>
</sst>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DBB0E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D5C4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auto="1"/>
      </right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2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23" applyNumberFormat="0" applyAlignment="0" applyProtection="0">
      <alignment vertical="center"/>
    </xf>
    <xf numFmtId="0" fontId="12" fillId="11" borderId="24" applyNumberFormat="0" applyAlignment="0" applyProtection="0">
      <alignment vertical="center"/>
    </xf>
    <xf numFmtId="0" fontId="13" fillId="11" borderId="23" applyNumberFormat="0" applyAlignment="0" applyProtection="0">
      <alignment vertical="center"/>
    </xf>
    <xf numFmtId="0" fontId="14" fillId="12" borderId="25" applyNumberFormat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2" borderId="1" xfId="0" applyFont="1" applyFill="1" applyBorder="1" applyAlignment="1" applyProtection="1">
      <alignment horizontal="left" vertical="center"/>
    </xf>
    <xf numFmtId="0" fontId="0" fillId="2" borderId="2" xfId="0" applyFont="1" applyFill="1" applyBorder="1" applyAlignment="1" applyProtection="1">
      <alignment horizontal="left" vertical="center"/>
    </xf>
    <xf numFmtId="0" fontId="0" fillId="2" borderId="3" xfId="0" applyFont="1" applyFill="1" applyBorder="1" applyAlignment="1" applyProtection="1">
      <alignment horizontal="left" vertical="center"/>
    </xf>
    <xf numFmtId="0" fontId="0" fillId="2" borderId="0" xfId="0" applyFont="1" applyFill="1" applyBorder="1" applyAlignment="1" applyProtection="1">
      <alignment horizontal="left" vertical="center"/>
    </xf>
    <xf numFmtId="0" fontId="0" fillId="2" borderId="4" xfId="0" applyFont="1" applyFill="1" applyBorder="1" applyAlignment="1" applyProtection="1">
      <alignment horizontal="left" vertical="center" wrapText="1"/>
    </xf>
    <xf numFmtId="0" fontId="0" fillId="2" borderId="5" xfId="0" applyFont="1" applyFill="1" applyBorder="1" applyAlignment="1" applyProtection="1">
      <alignment horizontal="left"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3" borderId="6" xfId="0" applyFont="1" applyFill="1" applyBorder="1" applyAlignment="1">
      <alignment horizontal="left" vertical="center"/>
    </xf>
    <xf numFmtId="0" fontId="0" fillId="3" borderId="7" xfId="0" applyFont="1" applyFill="1" applyBorder="1" applyAlignment="1">
      <alignment horizontal="left" vertical="center"/>
    </xf>
    <xf numFmtId="0" fontId="0" fillId="4" borderId="8" xfId="0" applyNumberFormat="1" applyFont="1" applyFill="1" applyBorder="1" applyAlignment="1">
      <alignment horizontal="left"/>
    </xf>
    <xf numFmtId="0" fontId="0" fillId="4" borderId="0" xfId="0" applyNumberFormat="1" applyFont="1" applyFill="1" applyBorder="1" applyAlignment="1">
      <alignment horizontal="left"/>
    </xf>
    <xf numFmtId="0" fontId="0" fillId="4" borderId="8" xfId="0" applyFont="1" applyFill="1" applyBorder="1" applyAlignment="1">
      <alignment horizontal="left" vertical="center"/>
    </xf>
    <xf numFmtId="0" fontId="0" fillId="4" borderId="0" xfId="0" applyFont="1" applyFill="1" applyBorder="1" applyAlignment="1">
      <alignment horizontal="left" vertical="center"/>
    </xf>
    <xf numFmtId="0" fontId="0" fillId="5" borderId="8" xfId="0" applyNumberFormat="1" applyFont="1" applyFill="1" applyBorder="1" applyAlignment="1">
      <alignment horizontal="left"/>
    </xf>
    <xf numFmtId="0" fontId="0" fillId="5" borderId="0" xfId="0" applyNumberFormat="1" applyFont="1" applyFill="1" applyBorder="1" applyAlignment="1">
      <alignment horizontal="left"/>
    </xf>
    <xf numFmtId="0" fontId="0" fillId="2" borderId="9" xfId="0" applyFont="1" applyFill="1" applyBorder="1" applyAlignment="1" applyProtection="1">
      <alignment horizontal="left" vertical="center"/>
    </xf>
    <xf numFmtId="0" fontId="0" fillId="6" borderId="10" xfId="0" applyFill="1" applyBorder="1">
      <alignment vertical="center"/>
    </xf>
    <xf numFmtId="0" fontId="0" fillId="2" borderId="11" xfId="0" applyFont="1" applyFill="1" applyBorder="1" applyAlignment="1" applyProtection="1">
      <alignment horizontal="left" vertical="center"/>
    </xf>
    <xf numFmtId="0" fontId="0" fillId="0" borderId="0" xfId="0" applyAlignment="1">
      <alignment horizontal="center" vertical="center"/>
    </xf>
    <xf numFmtId="0" fontId="1" fillId="6" borderId="10" xfId="0" applyFont="1" applyFill="1" applyBorder="1">
      <alignment vertical="center"/>
    </xf>
    <xf numFmtId="0" fontId="1" fillId="2" borderId="12" xfId="0" applyFont="1" applyFill="1" applyBorder="1" applyAlignment="1" applyProtection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0" fillId="3" borderId="13" xfId="0" applyNumberFormat="1" applyFont="1" applyFill="1" applyBorder="1" applyAlignment="1">
      <alignment horizontal="left"/>
    </xf>
    <xf numFmtId="0" fontId="0" fillId="0" borderId="14" xfId="0" applyBorder="1" applyAlignment="1">
      <alignment horizontal="center" vertical="center"/>
    </xf>
    <xf numFmtId="0" fontId="1" fillId="4" borderId="15" xfId="0" applyNumberFormat="1" applyFont="1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4" borderId="15" xfId="0" applyFont="1" applyFill="1" applyBorder="1" applyAlignment="1">
      <alignment horizontal="left" vertical="center"/>
    </xf>
    <xf numFmtId="0" fontId="0" fillId="5" borderId="0" xfId="0" applyFont="1" applyFill="1" applyBorder="1" applyAlignment="1">
      <alignment horizontal="left" vertical="center"/>
    </xf>
    <xf numFmtId="0" fontId="1" fillId="5" borderId="15" xfId="0" applyNumberFormat="1" applyFont="1" applyFill="1" applyBorder="1" applyAlignment="1">
      <alignment horizontal="left"/>
    </xf>
    <xf numFmtId="0" fontId="1" fillId="0" borderId="14" xfId="0" applyFont="1" applyBorder="1" applyAlignment="1">
      <alignment horizontal="center" vertical="center"/>
    </xf>
    <xf numFmtId="0" fontId="0" fillId="5" borderId="8" xfId="0" applyFont="1" applyFill="1" applyBorder="1" applyAlignment="1">
      <alignment horizontal="left" vertical="center"/>
    </xf>
    <xf numFmtId="0" fontId="0" fillId="7" borderId="8" xfId="0" applyNumberFormat="1" applyFont="1" applyFill="1" applyBorder="1" applyAlignment="1">
      <alignment horizontal="left"/>
    </xf>
    <xf numFmtId="0" fontId="0" fillId="7" borderId="0" xfId="0" applyNumberFormat="1" applyFont="1" applyFill="1" applyBorder="1" applyAlignment="1">
      <alignment horizontal="left"/>
    </xf>
    <xf numFmtId="0" fontId="1" fillId="7" borderId="8" xfId="0" applyNumberFormat="1" applyFont="1" applyFill="1" applyBorder="1" applyAlignment="1">
      <alignment horizontal="left"/>
    </xf>
    <xf numFmtId="0" fontId="1" fillId="7" borderId="0" xfId="0" applyNumberFormat="1" applyFont="1" applyFill="1" applyBorder="1" applyAlignment="1">
      <alignment horizontal="left"/>
    </xf>
    <xf numFmtId="0" fontId="1" fillId="7" borderId="8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0" fillId="7" borderId="8" xfId="0" applyFont="1" applyFill="1" applyBorder="1" applyAlignment="1">
      <alignment horizontal="left" vertical="center"/>
    </xf>
    <xf numFmtId="0" fontId="0" fillId="7" borderId="0" xfId="0" applyFont="1" applyFill="1" applyBorder="1" applyAlignment="1">
      <alignment horizontal="left" vertical="center"/>
    </xf>
    <xf numFmtId="0" fontId="0" fillId="5" borderId="15" xfId="0" applyFont="1" applyFill="1" applyBorder="1" applyAlignment="1">
      <alignment horizontal="left" vertical="center"/>
    </xf>
    <xf numFmtId="0" fontId="1" fillId="7" borderId="15" xfId="0" applyNumberFormat="1" applyFont="1" applyFill="1" applyBorder="1" applyAlignment="1">
      <alignment horizontal="left"/>
    </xf>
    <xf numFmtId="0" fontId="0" fillId="7" borderId="15" xfId="0" applyNumberFormat="1" applyFont="1" applyFill="1" applyBorder="1" applyAlignment="1">
      <alignment horizontal="left" vertical="center"/>
    </xf>
    <xf numFmtId="0" fontId="0" fillId="7" borderId="15" xfId="0" applyFont="1" applyFill="1" applyBorder="1" applyAlignment="1">
      <alignment horizontal="left" vertical="center"/>
    </xf>
    <xf numFmtId="0" fontId="0" fillId="8" borderId="8" xfId="0" applyFont="1" applyFill="1" applyBorder="1" applyAlignment="1">
      <alignment horizontal="left" vertical="center"/>
    </xf>
    <xf numFmtId="0" fontId="0" fillId="8" borderId="0" xfId="0" applyFont="1" applyFill="1" applyBorder="1" applyAlignment="1">
      <alignment horizontal="left" vertical="center"/>
    </xf>
    <xf numFmtId="0" fontId="0" fillId="8" borderId="17" xfId="0" applyFont="1" applyFill="1" applyBorder="1" applyAlignment="1">
      <alignment horizontal="left" vertical="center"/>
    </xf>
    <xf numFmtId="0" fontId="0" fillId="8" borderId="18" xfId="0" applyFont="1" applyFill="1" applyBorder="1" applyAlignment="1">
      <alignment horizontal="left" vertical="center"/>
    </xf>
    <xf numFmtId="0" fontId="0" fillId="8" borderId="15" xfId="0" applyFont="1" applyFill="1" applyBorder="1" applyAlignment="1">
      <alignment horizontal="left" vertical="center"/>
    </xf>
    <xf numFmtId="0" fontId="0" fillId="8" borderId="19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C4C0"/>
      <color rgb="00B799FB"/>
      <color rgb="00DBB0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4"/>
  <sheetViews>
    <sheetView tabSelected="1" zoomScale="71" zoomScaleNormal="71" workbookViewId="0">
      <selection activeCell="N7" sqref="N7"/>
    </sheetView>
  </sheetViews>
  <sheetFormatPr defaultColWidth="10" defaultRowHeight="16.8"/>
  <cols>
    <col min="1" max="1" width="17.125" customWidth="1"/>
    <col min="2" max="5" width="10" customWidth="1"/>
    <col min="6" max="6" width="6.875" customWidth="1"/>
    <col min="9" max="12" width="10" hidden="1" customWidth="1"/>
    <col min="13" max="13" width="10" customWidth="1"/>
  </cols>
  <sheetData>
    <row r="1" ht="20" customHeight="1" spans="1:7">
      <c r="A1" s="1"/>
      <c r="B1" s="2" t="s">
        <v>0</v>
      </c>
      <c r="C1" s="2" t="s">
        <v>1</v>
      </c>
      <c r="D1" s="2" t="s">
        <v>2</v>
      </c>
      <c r="E1" s="17" t="s">
        <v>3</v>
      </c>
      <c r="G1" s="18" t="s">
        <v>1</v>
      </c>
    </row>
    <row r="2" ht="20" customHeight="1" spans="1:17">
      <c r="A2" s="3"/>
      <c r="B2" s="4" t="s">
        <v>4</v>
      </c>
      <c r="C2" s="4" t="s">
        <v>5</v>
      </c>
      <c r="D2" s="4" t="s">
        <v>6</v>
      </c>
      <c r="E2" s="19" t="s">
        <v>7</v>
      </c>
      <c r="G2" s="18" t="s">
        <v>3</v>
      </c>
      <c r="H2" s="20" t="s">
        <v>8</v>
      </c>
      <c r="I2" s="20"/>
      <c r="J2" s="20"/>
      <c r="K2" s="20"/>
      <c r="L2" s="20"/>
      <c r="M2" s="20"/>
      <c r="N2" s="20"/>
      <c r="O2" s="20"/>
      <c r="P2" s="20"/>
      <c r="Q2" s="20"/>
    </row>
    <row r="3" ht="20" customHeight="1" spans="1:17">
      <c r="A3" s="3"/>
      <c r="B3" s="4" t="s">
        <v>9</v>
      </c>
      <c r="C3" s="4" t="s">
        <v>10</v>
      </c>
      <c r="D3" s="4" t="s">
        <v>11</v>
      </c>
      <c r="E3" s="19" t="s">
        <v>12</v>
      </c>
      <c r="G3" s="18" t="s">
        <v>6</v>
      </c>
      <c r="H3" s="20"/>
      <c r="I3" s="20"/>
      <c r="J3" s="20"/>
      <c r="K3" s="20"/>
      <c r="L3" s="20"/>
      <c r="M3" s="20"/>
      <c r="N3" s="20"/>
      <c r="O3" s="20"/>
      <c r="P3" s="20"/>
      <c r="Q3" s="20"/>
    </row>
    <row r="4" ht="20" customHeight="1" spans="1:17">
      <c r="A4" s="3"/>
      <c r="B4" s="4" t="s">
        <v>13</v>
      </c>
      <c r="C4" s="4" t="s">
        <v>14</v>
      </c>
      <c r="D4" s="4" t="s">
        <v>15</v>
      </c>
      <c r="E4" s="19" t="s">
        <v>16</v>
      </c>
      <c r="G4" s="21" t="s">
        <v>17</v>
      </c>
      <c r="H4" s="20"/>
      <c r="I4" s="20"/>
      <c r="J4" s="20"/>
      <c r="K4" s="20"/>
      <c r="L4" s="20"/>
      <c r="M4" s="20"/>
      <c r="N4" s="20"/>
      <c r="O4" s="20"/>
      <c r="P4" s="20"/>
      <c r="Q4" s="20"/>
    </row>
    <row r="5" ht="20" customHeight="1" spans="1:17">
      <c r="A5" s="3"/>
      <c r="B5" s="4"/>
      <c r="C5" s="4" t="s">
        <v>18</v>
      </c>
      <c r="D5" s="4" t="s">
        <v>19</v>
      </c>
      <c r="E5" s="19" t="s">
        <v>17</v>
      </c>
      <c r="G5" s="18" t="s">
        <v>9</v>
      </c>
      <c r="H5" s="20"/>
      <c r="I5" s="20"/>
      <c r="J5" s="20"/>
      <c r="K5" s="20"/>
      <c r="L5" s="20"/>
      <c r="M5" s="20"/>
      <c r="N5" s="20"/>
      <c r="O5" s="20"/>
      <c r="P5" s="20"/>
      <c r="Q5" s="20"/>
    </row>
    <row r="6" ht="20" customHeight="1" spans="1:17">
      <c r="A6" s="3"/>
      <c r="B6" s="4"/>
      <c r="C6" s="4"/>
      <c r="D6" s="4" t="s">
        <v>20</v>
      </c>
      <c r="E6" s="19" t="s">
        <v>21</v>
      </c>
      <c r="G6" s="18" t="s">
        <v>13</v>
      </c>
      <c r="H6" s="20"/>
      <c r="I6" s="20"/>
      <c r="J6" s="20"/>
      <c r="K6" s="20"/>
      <c r="L6" s="20"/>
      <c r="M6" s="20"/>
      <c r="N6" s="20"/>
      <c r="O6" s="20"/>
      <c r="P6" s="20"/>
      <c r="Q6" s="20"/>
    </row>
    <row r="7" ht="20" customHeight="1" spans="1:7">
      <c r="A7" s="3"/>
      <c r="B7" s="4"/>
      <c r="C7" s="4"/>
      <c r="D7" s="4"/>
      <c r="E7" s="19" t="s">
        <v>22</v>
      </c>
      <c r="G7" s="21" t="s">
        <v>23</v>
      </c>
    </row>
    <row r="8" ht="20" customHeight="1" spans="1:5">
      <c r="A8" s="5"/>
      <c r="B8" s="6"/>
      <c r="C8" s="6"/>
      <c r="D8" s="6"/>
      <c r="E8" s="22" t="s">
        <v>23</v>
      </c>
    </row>
    <row r="9" spans="1:5">
      <c r="A9" s="7"/>
      <c r="B9" s="8"/>
      <c r="C9" s="8"/>
      <c r="D9" s="8"/>
      <c r="E9" s="8"/>
    </row>
    <row r="10" spans="1:17">
      <c r="A10" s="9" t="s">
        <v>24</v>
      </c>
      <c r="B10" s="10" t="s">
        <v>25</v>
      </c>
      <c r="C10" s="10" t="s">
        <v>26</v>
      </c>
      <c r="D10" s="10" t="s">
        <v>27</v>
      </c>
      <c r="E10" s="10" t="s">
        <v>28</v>
      </c>
      <c r="F10" s="23" t="s">
        <v>29</v>
      </c>
      <c r="G10" s="24" t="s">
        <v>30</v>
      </c>
      <c r="H10" s="25" t="s">
        <v>24</v>
      </c>
      <c r="I10" s="25" t="s">
        <v>25</v>
      </c>
      <c r="J10" s="25" t="s">
        <v>26</v>
      </c>
      <c r="K10" s="25" t="s">
        <v>27</v>
      </c>
      <c r="L10" s="25" t="s">
        <v>28</v>
      </c>
      <c r="M10" s="31" t="s">
        <v>30</v>
      </c>
      <c r="N10" s="31" t="s">
        <v>31</v>
      </c>
      <c r="O10" s="31" t="s">
        <v>32</v>
      </c>
      <c r="P10" s="31" t="s">
        <v>33</v>
      </c>
      <c r="Q10" s="31" t="s">
        <v>34</v>
      </c>
    </row>
    <row r="11" spans="1:17">
      <c r="A11" s="11" t="s">
        <v>35</v>
      </c>
      <c r="B11" s="12" t="s">
        <v>13</v>
      </c>
      <c r="C11" s="12" t="s">
        <v>1</v>
      </c>
      <c r="D11" s="12" t="s">
        <v>6</v>
      </c>
      <c r="E11" s="12" t="s">
        <v>17</v>
      </c>
      <c r="F11" s="14">
        <f>COUNTIFS($G:$G,B11)+COUNTIFS($G:$G,C11)+COUNTIFS($G:$G,D11)+COUNTIFS($G:$G,E11)</f>
        <v>4</v>
      </c>
      <c r="G11" s="26">
        <v>1</v>
      </c>
      <c r="H11" s="27" t="str">
        <f t="array" ref="H11:L23">_xlfn._xlws.FILTER($A:$E,$F:$F=3)</f>
        <v>蓝鲨教官</v>
      </c>
      <c r="I11" s="25" t="str">
        <v>战士</v>
      </c>
      <c r="J11" s="25" t="str">
        <v>生灵</v>
      </c>
      <c r="K11" s="25" t="str">
        <v>水系</v>
      </c>
      <c r="L11" s="25" t="str">
        <v>海洋</v>
      </c>
      <c r="M11" s="25">
        <f t="shared" ref="M11:M52" si="0">IFERROR(VLOOKUP(H11,A:G,7,0),"")</f>
        <v>1</v>
      </c>
      <c r="N11" s="25" t="str">
        <f t="shared" ref="N11:Q11" si="1">IF(COUNTIFS($G$1:$G$7,I11)=1,I11,"")</f>
        <v/>
      </c>
      <c r="O11" s="25" t="str">
        <f t="shared" si="1"/>
        <v>生灵</v>
      </c>
      <c r="P11" s="25" t="str">
        <f t="shared" si="1"/>
        <v>水系</v>
      </c>
      <c r="Q11" s="25" t="str">
        <f t="shared" si="1"/>
        <v>海洋</v>
      </c>
    </row>
    <row r="12" spans="1:17">
      <c r="A12" s="11" t="s">
        <v>36</v>
      </c>
      <c r="B12" s="12" t="s">
        <v>13</v>
      </c>
      <c r="C12" s="12" t="s">
        <v>1</v>
      </c>
      <c r="D12" s="12" t="s">
        <v>6</v>
      </c>
      <c r="E12" s="12" t="s">
        <v>17</v>
      </c>
      <c r="F12" s="14">
        <f>COUNTIFS($G:$G,B12)+COUNTIFS($G:$G,C12)+COUNTIFS($G:$G,D12)+COUNTIFS($G:$G,E12)</f>
        <v>4</v>
      </c>
      <c r="G12" s="26">
        <v>1</v>
      </c>
      <c r="H12" s="27" t="str">
        <v>银鳞守卫</v>
      </c>
      <c r="I12" s="25" t="str">
        <v>战士</v>
      </c>
      <c r="J12" s="25" t="str">
        <v>生灵</v>
      </c>
      <c r="K12" s="25" t="str">
        <v>水系</v>
      </c>
      <c r="L12" s="25" t="str">
        <v>海洋</v>
      </c>
      <c r="M12" s="25">
        <f t="shared" si="0"/>
        <v>1</v>
      </c>
      <c r="N12" s="25" t="str">
        <f t="shared" ref="N12:Q12" si="2">IF(COUNTIFS($G$1:$G$7,I12)=1,I12,"")</f>
        <v/>
      </c>
      <c r="O12" s="25" t="str">
        <f t="shared" si="2"/>
        <v>生灵</v>
      </c>
      <c r="P12" s="25" t="str">
        <f t="shared" si="2"/>
        <v>水系</v>
      </c>
      <c r="Q12" s="25" t="str">
        <f t="shared" si="2"/>
        <v>海洋</v>
      </c>
    </row>
    <row r="13" spans="1:17">
      <c r="A13" s="11" t="s">
        <v>37</v>
      </c>
      <c r="B13" s="12" t="s">
        <v>4</v>
      </c>
      <c r="C13" s="12" t="s">
        <v>14</v>
      </c>
      <c r="D13" s="12" t="s">
        <v>11</v>
      </c>
      <c r="E13" s="12" t="s">
        <v>17</v>
      </c>
      <c r="F13" s="14">
        <f>COUNTIFS($G:$G,B13)+COUNTIFS($G:$G,C13)+COUNTIFS($G:$G,D13)+COUNTIFS($G:$G,E13)</f>
        <v>1</v>
      </c>
      <c r="G13" s="26">
        <v>1</v>
      </c>
      <c r="H13" s="27" t="str">
        <v>鱼人哨兵</v>
      </c>
      <c r="I13" s="25" t="str">
        <v>战士</v>
      </c>
      <c r="J13" s="25" t="str">
        <v>生灵</v>
      </c>
      <c r="K13" s="25" t="str">
        <v>水系</v>
      </c>
      <c r="L13" s="25" t="str">
        <v>海洋</v>
      </c>
      <c r="M13" s="25">
        <f t="shared" si="0"/>
        <v>1</v>
      </c>
      <c r="N13" s="25" t="str">
        <f t="shared" ref="N13:Q13" si="3">IF(COUNTIFS($G$1:$G$7,I13)=1,I13,"")</f>
        <v/>
      </c>
      <c r="O13" s="25" t="str">
        <f t="shared" si="3"/>
        <v>生灵</v>
      </c>
      <c r="P13" s="25" t="str">
        <f t="shared" si="3"/>
        <v>水系</v>
      </c>
      <c r="Q13" s="25" t="str">
        <f t="shared" si="3"/>
        <v>海洋</v>
      </c>
    </row>
    <row r="14" spans="1:17">
      <c r="A14" s="11" t="s">
        <v>38</v>
      </c>
      <c r="B14" s="12" t="s">
        <v>0</v>
      </c>
      <c r="C14" s="12" t="s">
        <v>1</v>
      </c>
      <c r="D14" s="12" t="s">
        <v>6</v>
      </c>
      <c r="E14" s="12" t="s">
        <v>17</v>
      </c>
      <c r="F14" s="14">
        <f>COUNTIFS($G:$G,B14)+COUNTIFS($G:$G,C14)+COUNTIFS($G:$G,D14)+COUNTIFS($G:$G,E14)</f>
        <v>3</v>
      </c>
      <c r="G14" s="26">
        <v>1</v>
      </c>
      <c r="H14" s="27" t="str">
        <v>鱼人战士</v>
      </c>
      <c r="I14" s="25" t="str">
        <v>战士</v>
      </c>
      <c r="J14" s="25" t="str">
        <v>生灵</v>
      </c>
      <c r="K14" s="25" t="str">
        <v>水系</v>
      </c>
      <c r="L14" s="25" t="str">
        <v>海洋</v>
      </c>
      <c r="M14" s="25">
        <f t="shared" si="0"/>
        <v>1</v>
      </c>
      <c r="N14" s="25" t="str">
        <f t="shared" ref="N14:Q14" si="4">IF(COUNTIFS($G$1:$G$7,I14)=1,I14,"")</f>
        <v/>
      </c>
      <c r="O14" s="25" t="str">
        <f t="shared" si="4"/>
        <v>生灵</v>
      </c>
      <c r="P14" s="25" t="str">
        <f t="shared" si="4"/>
        <v>水系</v>
      </c>
      <c r="Q14" s="25" t="str">
        <f t="shared" si="4"/>
        <v>海洋</v>
      </c>
    </row>
    <row r="15" spans="1:17">
      <c r="A15" s="11" t="s">
        <v>39</v>
      </c>
      <c r="B15" s="12" t="s">
        <v>0</v>
      </c>
      <c r="C15" s="12" t="s">
        <v>1</v>
      </c>
      <c r="D15" s="12" t="s">
        <v>6</v>
      </c>
      <c r="E15" s="12" t="s">
        <v>17</v>
      </c>
      <c r="F15" s="14">
        <f>COUNTIFS($G:$G,B15)+COUNTIFS($G:$G,C15)+COUNTIFS($G:$G,D15)+COUNTIFS($G:$G,E15)</f>
        <v>3</v>
      </c>
      <c r="G15" s="26">
        <v>1</v>
      </c>
      <c r="H15" s="27" t="str">
        <v>哥布林法师</v>
      </c>
      <c r="I15" s="25" t="str">
        <v>法师</v>
      </c>
      <c r="J15" s="25" t="str">
        <v>生灵</v>
      </c>
      <c r="K15" s="25" t="str">
        <v>火系</v>
      </c>
      <c r="L15" s="25" t="str">
        <v>平原</v>
      </c>
      <c r="M15" s="25">
        <f t="shared" si="0"/>
        <v>1</v>
      </c>
      <c r="N15" s="25" t="str">
        <f t="shared" ref="N15:Q15" si="5">IF(COUNTIFS($G$1:$G$7,I15)=1,I15,"")</f>
        <v>法师</v>
      </c>
      <c r="O15" s="25" t="str">
        <f t="shared" si="5"/>
        <v>生灵</v>
      </c>
      <c r="P15" s="25" t="str">
        <f t="shared" si="5"/>
        <v/>
      </c>
      <c r="Q15" s="25" t="str">
        <f t="shared" si="5"/>
        <v>平原</v>
      </c>
    </row>
    <row r="16" spans="1:17">
      <c r="A16" s="11" t="s">
        <v>40</v>
      </c>
      <c r="B16" s="12" t="s">
        <v>0</v>
      </c>
      <c r="C16" s="12" t="s">
        <v>14</v>
      </c>
      <c r="D16" s="12" t="s">
        <v>11</v>
      </c>
      <c r="E16" s="12" t="s">
        <v>17</v>
      </c>
      <c r="F16" s="14">
        <f>COUNTIFS($G:$G,B16)+COUNTIFS($G:$G,C16)+COUNTIFS($G:$G,D16)+COUNTIFS($G:$G,E16)</f>
        <v>1</v>
      </c>
      <c r="G16" s="26">
        <v>1</v>
      </c>
      <c r="H16" s="27" t="str">
        <v>狼族先知</v>
      </c>
      <c r="I16" s="25" t="str">
        <v>法师</v>
      </c>
      <c r="J16" s="25" t="str">
        <v>生灵</v>
      </c>
      <c r="K16" s="25" t="str">
        <v>地系</v>
      </c>
      <c r="L16" s="25" t="str">
        <v>平原</v>
      </c>
      <c r="M16" s="25">
        <f t="shared" si="0"/>
        <v>1</v>
      </c>
      <c r="N16" s="25" t="str">
        <f t="shared" ref="N16:Q16" si="6">IF(COUNTIFS($G$1:$G$7,I16)=1,I16,"")</f>
        <v>法师</v>
      </c>
      <c r="O16" s="25" t="str">
        <f t="shared" si="6"/>
        <v>生灵</v>
      </c>
      <c r="P16" s="25" t="str">
        <f t="shared" si="6"/>
        <v/>
      </c>
      <c r="Q16" s="25" t="str">
        <f t="shared" si="6"/>
        <v>平原</v>
      </c>
    </row>
    <row r="17" spans="1:17">
      <c r="A17" s="11" t="s">
        <v>41</v>
      </c>
      <c r="B17" s="12" t="s">
        <v>0</v>
      </c>
      <c r="C17" s="12" t="s">
        <v>1</v>
      </c>
      <c r="D17" s="12" t="s">
        <v>6</v>
      </c>
      <c r="E17" s="12" t="s">
        <v>17</v>
      </c>
      <c r="F17" s="14">
        <f>COUNTIFS($G:$G,B17)+COUNTIFS($G:$G,C17)+COUNTIFS($G:$G,D17)+COUNTIFS($G:$G,E17)</f>
        <v>3</v>
      </c>
      <c r="G17" s="26">
        <v>1</v>
      </c>
      <c r="H17" s="27" t="str">
        <v>星象法师</v>
      </c>
      <c r="I17" s="25" t="str">
        <v>法师</v>
      </c>
      <c r="J17" s="25" t="str">
        <v>生灵</v>
      </c>
      <c r="K17" s="25" t="str">
        <v>火系</v>
      </c>
      <c r="L17" s="25" t="str">
        <v>平原</v>
      </c>
      <c r="M17" s="25">
        <f t="shared" si="0"/>
        <v>1</v>
      </c>
      <c r="N17" s="25" t="str">
        <f t="shared" ref="N17:Q17" si="7">IF(COUNTIFS($G$1:$G$7,I17)=1,I17,"")</f>
        <v>法师</v>
      </c>
      <c r="O17" s="25" t="str">
        <f t="shared" si="7"/>
        <v>生灵</v>
      </c>
      <c r="P17" s="25" t="str">
        <f t="shared" si="7"/>
        <v/>
      </c>
      <c r="Q17" s="25" t="str">
        <f t="shared" si="7"/>
        <v>平原</v>
      </c>
    </row>
    <row r="18" spans="1:17">
      <c r="A18" s="11" t="s">
        <v>42</v>
      </c>
      <c r="B18" s="12" t="s">
        <v>0</v>
      </c>
      <c r="C18" s="12" t="s">
        <v>1</v>
      </c>
      <c r="D18" s="12" t="s">
        <v>6</v>
      </c>
      <c r="E18" s="12" t="s">
        <v>17</v>
      </c>
      <c r="F18" s="14">
        <f>COUNTIFS($G:$G,B18)+COUNTIFS($G:$G,C18)+COUNTIFS($G:$G,D18)+COUNTIFS($G:$G,E18)</f>
        <v>3</v>
      </c>
      <c r="G18" s="26">
        <v>1</v>
      </c>
      <c r="H18" s="27" t="str">
        <v>军团祭司</v>
      </c>
      <c r="I18" s="25" t="str">
        <v>牧师</v>
      </c>
      <c r="J18" s="25" t="str">
        <v>生灵</v>
      </c>
      <c r="K18" s="25" t="str">
        <v>风系</v>
      </c>
      <c r="L18" s="25" t="str">
        <v>平原</v>
      </c>
      <c r="M18" s="25">
        <f t="shared" si="0"/>
        <v>1</v>
      </c>
      <c r="N18" s="25" t="str">
        <f t="shared" ref="N18:Q18" si="8">IF(COUNTIFS($G$1:$G$7,I18)=1,I18,"")</f>
        <v>牧师</v>
      </c>
      <c r="O18" s="25" t="str">
        <f t="shared" si="8"/>
        <v>生灵</v>
      </c>
      <c r="P18" s="25" t="str">
        <f t="shared" si="8"/>
        <v/>
      </c>
      <c r="Q18" s="25" t="str">
        <f t="shared" si="8"/>
        <v>平原</v>
      </c>
    </row>
    <row r="19" spans="1:17">
      <c r="A19" s="11" t="s">
        <v>43</v>
      </c>
      <c r="B19" s="12" t="s">
        <v>9</v>
      </c>
      <c r="C19" s="12" t="s">
        <v>1</v>
      </c>
      <c r="D19" s="12" t="s">
        <v>15</v>
      </c>
      <c r="E19" s="12" t="s">
        <v>3</v>
      </c>
      <c r="F19" s="14">
        <f>COUNTIFS($G:$G,B19)+COUNTIFS($G:$G,C19)+COUNTIFS($G:$G,D19)+COUNTIFS($G:$G,E19)</f>
        <v>3</v>
      </c>
      <c r="G19" s="26">
        <v>1</v>
      </c>
      <c r="H19" s="27" t="str">
        <v>蓝灵菇娘</v>
      </c>
      <c r="I19" s="25" t="str">
        <v>法师</v>
      </c>
      <c r="J19" s="25" t="str">
        <v>生灵</v>
      </c>
      <c r="K19" s="25" t="str">
        <v>水系</v>
      </c>
      <c r="L19" s="25" t="str">
        <v>山脉</v>
      </c>
      <c r="M19" s="25">
        <f t="shared" si="0"/>
        <v>1</v>
      </c>
      <c r="N19" s="25" t="str">
        <f t="shared" ref="N19:Q19" si="9">IF(COUNTIFS($G$1:$G$7,I19)=1,I19,"")</f>
        <v>法师</v>
      </c>
      <c r="O19" s="25" t="str">
        <f t="shared" si="9"/>
        <v>生灵</v>
      </c>
      <c r="P19" s="25" t="str">
        <f t="shared" si="9"/>
        <v>水系</v>
      </c>
      <c r="Q19" s="25" t="str">
        <f t="shared" si="9"/>
        <v/>
      </c>
    </row>
    <row r="20" spans="1:17">
      <c r="A20" s="11" t="s">
        <v>44</v>
      </c>
      <c r="B20" s="12" t="s">
        <v>9</v>
      </c>
      <c r="C20" s="12" t="s">
        <v>1</v>
      </c>
      <c r="D20" s="12" t="s">
        <v>2</v>
      </c>
      <c r="E20" s="12" t="s">
        <v>3</v>
      </c>
      <c r="F20" s="14">
        <f>COUNTIFS($G:$G,B20)+COUNTIFS($G:$G,C20)+COUNTIFS($G:$G,D20)+COUNTIFS($G:$G,E20)</f>
        <v>3</v>
      </c>
      <c r="G20" s="26">
        <v>1</v>
      </c>
      <c r="H20" s="27" t="str">
        <v>遗迹猎人</v>
      </c>
      <c r="I20" s="25" t="str">
        <v>法师</v>
      </c>
      <c r="J20" s="25" t="str">
        <v>生灵</v>
      </c>
      <c r="K20" s="25" t="str">
        <v>火系</v>
      </c>
      <c r="L20" s="25" t="str">
        <v>沙漠</v>
      </c>
      <c r="M20" s="25">
        <f t="shared" si="0"/>
        <v>1</v>
      </c>
      <c r="N20" s="25" t="str">
        <f t="shared" ref="N20:Q20" si="10">IF(COUNTIFS($G$1:$G$7,I20)=1,I20,"")</f>
        <v>法师</v>
      </c>
      <c r="O20" s="25" t="str">
        <f t="shared" si="10"/>
        <v>生灵</v>
      </c>
      <c r="P20" s="25" t="str">
        <f t="shared" si="10"/>
        <v/>
      </c>
      <c r="Q20" s="25" t="str">
        <f t="shared" si="10"/>
        <v>沙漠</v>
      </c>
    </row>
    <row r="21" spans="1:17">
      <c r="A21" s="11" t="s">
        <v>45</v>
      </c>
      <c r="B21" s="12" t="s">
        <v>9</v>
      </c>
      <c r="C21" s="12" t="s">
        <v>1</v>
      </c>
      <c r="D21" s="12" t="s">
        <v>15</v>
      </c>
      <c r="E21" s="12" t="s">
        <v>3</v>
      </c>
      <c r="F21" s="14">
        <f>COUNTIFS($G:$G,B21)+COUNTIFS($G:$G,C21)+COUNTIFS($G:$G,D21)+COUNTIFS($G:$G,E21)</f>
        <v>3</v>
      </c>
      <c r="G21" s="26">
        <v>1</v>
      </c>
      <c r="H21" s="27" t="str">
        <v>流水法师</v>
      </c>
      <c r="I21" s="25" t="str">
        <v>法师</v>
      </c>
      <c r="J21" s="25" t="str">
        <v>魔灵</v>
      </c>
      <c r="K21" s="25" t="str">
        <v>水系</v>
      </c>
      <c r="L21" s="25" t="str">
        <v>海洋</v>
      </c>
      <c r="M21" s="25">
        <f t="shared" si="0"/>
        <v>2</v>
      </c>
      <c r="N21" s="25" t="str">
        <f t="shared" ref="N21:Q21" si="11">IF(COUNTIFS($G$1:$G$7,I21)=1,I21,"")</f>
        <v>法师</v>
      </c>
      <c r="O21" s="25" t="str">
        <f t="shared" si="11"/>
        <v/>
      </c>
      <c r="P21" s="25" t="str">
        <f t="shared" si="11"/>
        <v>水系</v>
      </c>
      <c r="Q21" s="25" t="str">
        <f t="shared" si="11"/>
        <v>海洋</v>
      </c>
    </row>
    <row r="22" spans="1:17">
      <c r="A22" s="11" t="s">
        <v>46</v>
      </c>
      <c r="B22" s="12" t="s">
        <v>13</v>
      </c>
      <c r="C22" s="12" t="s">
        <v>1</v>
      </c>
      <c r="D22" s="12" t="s">
        <v>20</v>
      </c>
      <c r="E22" s="12" t="s">
        <v>3</v>
      </c>
      <c r="F22" s="14">
        <f>COUNTIFS($G:$G,B22)+COUNTIFS($G:$G,C22)+COUNTIFS($G:$G,D22)+COUNTIFS($G:$G,E22)</f>
        <v>3</v>
      </c>
      <c r="G22" s="26">
        <v>1</v>
      </c>
      <c r="H22" s="27" t="str">
        <v>娜迦射手</v>
      </c>
      <c r="I22" s="25" t="str">
        <v>射手</v>
      </c>
      <c r="J22" s="25" t="str">
        <v>生灵</v>
      </c>
      <c r="K22" s="25" t="str">
        <v>水系</v>
      </c>
      <c r="L22" s="25" t="str">
        <v>海洋</v>
      </c>
      <c r="M22" s="25">
        <f t="shared" si="0"/>
        <v>2</v>
      </c>
      <c r="N22" s="25" t="str">
        <f t="shared" ref="N22:Q22" si="12">IF(COUNTIFS($G$1:$G$7,I22)=1,I22,"")</f>
        <v/>
      </c>
      <c r="O22" s="25" t="str">
        <f t="shared" si="12"/>
        <v>生灵</v>
      </c>
      <c r="P22" s="25" t="str">
        <f t="shared" si="12"/>
        <v>水系</v>
      </c>
      <c r="Q22" s="25" t="str">
        <f t="shared" si="12"/>
        <v>海洋</v>
      </c>
    </row>
    <row r="23" spans="1:17">
      <c r="A23" s="11" t="s">
        <v>47</v>
      </c>
      <c r="B23" s="12" t="s">
        <v>4</v>
      </c>
      <c r="C23" s="12" t="s">
        <v>1</v>
      </c>
      <c r="D23" s="12" t="s">
        <v>11</v>
      </c>
      <c r="E23" s="12" t="s">
        <v>3</v>
      </c>
      <c r="F23" s="14">
        <f>COUNTIFS($G:$G,B23)+COUNTIFS($G:$G,C23)+COUNTIFS($G:$G,D23)+COUNTIFS($G:$G,E23)</f>
        <v>2</v>
      </c>
      <c r="G23" s="26">
        <v>1</v>
      </c>
      <c r="H23" s="27" t="str">
        <v>波涛守卫</v>
      </c>
      <c r="I23" s="25" t="str">
        <v>战士</v>
      </c>
      <c r="J23" s="25" t="str">
        <v>生灵</v>
      </c>
      <c r="K23" s="25" t="str">
        <v>水系</v>
      </c>
      <c r="L23" s="25" t="str">
        <v>海洋</v>
      </c>
      <c r="M23" s="25">
        <f t="shared" si="0"/>
        <v>2</v>
      </c>
      <c r="N23" s="25" t="str">
        <f t="shared" ref="N23:Q23" si="13">IF(COUNTIFS($G$1:$G$7,I23)=1,I23,"")</f>
        <v/>
      </c>
      <c r="O23" s="25" t="str">
        <f t="shared" si="13"/>
        <v>生灵</v>
      </c>
      <c r="P23" s="25" t="str">
        <f t="shared" si="13"/>
        <v>水系</v>
      </c>
      <c r="Q23" s="25" t="str">
        <f t="shared" si="13"/>
        <v>海洋</v>
      </c>
    </row>
    <row r="24" spans="1:17">
      <c r="A24" s="11" t="s">
        <v>48</v>
      </c>
      <c r="B24" s="12" t="s">
        <v>4</v>
      </c>
      <c r="C24" s="12" t="s">
        <v>1</v>
      </c>
      <c r="D24" s="12" t="s">
        <v>20</v>
      </c>
      <c r="E24" s="12" t="s">
        <v>3</v>
      </c>
      <c r="F24" s="14">
        <f>COUNTIFS($G:$G,B24)+COUNTIFS($G:$G,C24)+COUNTIFS($G:$G,D24)+COUNTIFS($G:$G,E24)</f>
        <v>2</v>
      </c>
      <c r="G24" s="26">
        <v>1</v>
      </c>
      <c r="H24" s="27"/>
      <c r="I24" s="25"/>
      <c r="J24" s="25"/>
      <c r="K24" s="25"/>
      <c r="L24" s="25"/>
      <c r="M24" s="25" t="str">
        <f t="shared" si="0"/>
        <v/>
      </c>
      <c r="N24" s="25" t="str">
        <f t="shared" ref="N24:Q24" si="14">IF(COUNTIFS($G$1:$G$7,I24)=1,I24,"")</f>
        <v/>
      </c>
      <c r="O24" s="25" t="str">
        <f t="shared" si="14"/>
        <v/>
      </c>
      <c r="P24" s="25" t="str">
        <f t="shared" si="14"/>
        <v/>
      </c>
      <c r="Q24" s="25" t="str">
        <f t="shared" si="14"/>
        <v/>
      </c>
    </row>
    <row r="25" spans="1:17">
      <c r="A25" s="11" t="s">
        <v>49</v>
      </c>
      <c r="B25" s="12" t="s">
        <v>4</v>
      </c>
      <c r="C25" s="12" t="s">
        <v>1</v>
      </c>
      <c r="D25" s="12" t="s">
        <v>20</v>
      </c>
      <c r="E25" s="12" t="s">
        <v>3</v>
      </c>
      <c r="F25" s="14">
        <f>COUNTIFS($G:$G,B25)+COUNTIFS($G:$G,C25)+COUNTIFS($G:$G,D25)+COUNTIFS($G:$G,E25)</f>
        <v>2</v>
      </c>
      <c r="G25" s="26">
        <v>1</v>
      </c>
      <c r="H25" s="27"/>
      <c r="I25" s="25"/>
      <c r="J25" s="25"/>
      <c r="K25" s="25"/>
      <c r="L25" s="25"/>
      <c r="M25" s="25" t="str">
        <f t="shared" si="0"/>
        <v/>
      </c>
      <c r="N25" s="25" t="str">
        <f t="shared" ref="N25:Q25" si="15">IF(COUNTIFS($G$1:$G$7,I25)=1,I25,"")</f>
        <v/>
      </c>
      <c r="O25" s="25" t="str">
        <f t="shared" si="15"/>
        <v/>
      </c>
      <c r="P25" s="25" t="str">
        <f t="shared" si="15"/>
        <v/>
      </c>
      <c r="Q25" s="25" t="str">
        <f t="shared" si="15"/>
        <v/>
      </c>
    </row>
    <row r="26" spans="1:17">
      <c r="A26" s="11" t="s">
        <v>50</v>
      </c>
      <c r="B26" s="12" t="s">
        <v>4</v>
      </c>
      <c r="C26" s="12" t="s">
        <v>1</v>
      </c>
      <c r="D26" s="12" t="s">
        <v>15</v>
      </c>
      <c r="E26" s="12" t="s">
        <v>3</v>
      </c>
      <c r="F26" s="14">
        <f>COUNTIFS($G:$G,B26)+COUNTIFS($G:$G,C26)+COUNTIFS($G:$G,D26)+COUNTIFS($G:$G,E26)</f>
        <v>2</v>
      </c>
      <c r="G26" s="26">
        <v>1</v>
      </c>
      <c r="H26" s="27"/>
      <c r="I26" s="25"/>
      <c r="J26" s="25"/>
      <c r="K26" s="25"/>
      <c r="L26" s="25"/>
      <c r="M26" s="25" t="str">
        <f t="shared" si="0"/>
        <v/>
      </c>
      <c r="N26" s="25" t="str">
        <f t="shared" ref="N26:Q26" si="16">IF(COUNTIFS($G$1:$G$7,I26)=1,I26,"")</f>
        <v/>
      </c>
      <c r="O26" s="25" t="str">
        <f t="shared" si="16"/>
        <v/>
      </c>
      <c r="P26" s="25" t="str">
        <f t="shared" si="16"/>
        <v/>
      </c>
      <c r="Q26" s="25" t="str">
        <f t="shared" si="16"/>
        <v/>
      </c>
    </row>
    <row r="27" spans="1:17">
      <c r="A27" s="11" t="s">
        <v>51</v>
      </c>
      <c r="B27" s="12" t="s">
        <v>0</v>
      </c>
      <c r="C27" s="12" t="s">
        <v>1</v>
      </c>
      <c r="D27" s="12" t="s">
        <v>11</v>
      </c>
      <c r="E27" s="12" t="s">
        <v>3</v>
      </c>
      <c r="F27" s="14">
        <f>COUNTIFS($G:$G,B27)+COUNTIFS($G:$G,C27)+COUNTIFS($G:$G,D27)+COUNTIFS($G:$G,E27)</f>
        <v>2</v>
      </c>
      <c r="G27" s="26">
        <v>1</v>
      </c>
      <c r="H27" s="27"/>
      <c r="I27" s="25"/>
      <c r="J27" s="25"/>
      <c r="K27" s="25"/>
      <c r="L27" s="25"/>
      <c r="M27" s="25" t="str">
        <f t="shared" si="0"/>
        <v/>
      </c>
      <c r="N27" s="25" t="str">
        <f t="shared" ref="N27:Q27" si="17">IF(COUNTIFS($G$1:$G$7,I27)=1,I27,"")</f>
        <v/>
      </c>
      <c r="O27" s="25" t="str">
        <f t="shared" si="17"/>
        <v/>
      </c>
      <c r="P27" s="25" t="str">
        <f t="shared" si="17"/>
        <v/>
      </c>
      <c r="Q27" s="25" t="str">
        <f t="shared" si="17"/>
        <v/>
      </c>
    </row>
    <row r="28" spans="1:17">
      <c r="A28" s="11" t="s">
        <v>52</v>
      </c>
      <c r="B28" s="12" t="s">
        <v>0</v>
      </c>
      <c r="C28" s="12" t="s">
        <v>1</v>
      </c>
      <c r="D28" s="12" t="s">
        <v>20</v>
      </c>
      <c r="E28" s="12" t="s">
        <v>3</v>
      </c>
      <c r="F28" s="14">
        <f>COUNTIFS($G:$G,B28)+COUNTIFS($G:$G,C28)+COUNTIFS($G:$G,D28)+COUNTIFS($G:$G,E28)</f>
        <v>2</v>
      </c>
      <c r="G28" s="26">
        <v>1</v>
      </c>
      <c r="H28" s="27"/>
      <c r="I28" s="25"/>
      <c r="J28" s="25"/>
      <c r="K28" s="25"/>
      <c r="L28" s="25"/>
      <c r="M28" s="25" t="str">
        <f t="shared" si="0"/>
        <v/>
      </c>
      <c r="N28" s="25" t="str">
        <f t="shared" ref="N28:Q28" si="18">IF(COUNTIFS($G$1:$G$7,I28)=1,I28,"")</f>
        <v/>
      </c>
      <c r="O28" s="25" t="str">
        <f t="shared" si="18"/>
        <v/>
      </c>
      <c r="P28" s="25" t="str">
        <f t="shared" si="18"/>
        <v/>
      </c>
      <c r="Q28" s="25" t="str">
        <f t="shared" si="18"/>
        <v/>
      </c>
    </row>
    <row r="29" spans="1:17">
      <c r="A29" s="11" t="s">
        <v>53</v>
      </c>
      <c r="B29" s="12" t="s">
        <v>0</v>
      </c>
      <c r="C29" s="12" t="s">
        <v>1</v>
      </c>
      <c r="D29" s="12" t="s">
        <v>15</v>
      </c>
      <c r="E29" s="12" t="s">
        <v>3</v>
      </c>
      <c r="F29" s="14">
        <f>COUNTIFS($G:$G,B29)+COUNTIFS($G:$G,C29)+COUNTIFS($G:$G,D29)+COUNTIFS($G:$G,E29)</f>
        <v>2</v>
      </c>
      <c r="G29" s="26">
        <v>1</v>
      </c>
      <c r="H29" s="27"/>
      <c r="I29" s="25"/>
      <c r="J29" s="25"/>
      <c r="K29" s="25"/>
      <c r="L29" s="25"/>
      <c r="M29" s="25" t="str">
        <f t="shared" si="0"/>
        <v/>
      </c>
      <c r="N29" s="25" t="str">
        <f t="shared" ref="N29:Q29" si="19">IF(COUNTIFS($G$1:$G$7,I29)=1,I29,"")</f>
        <v/>
      </c>
      <c r="O29" s="25" t="str">
        <f t="shared" si="19"/>
        <v/>
      </c>
      <c r="P29" s="25" t="str">
        <f t="shared" si="19"/>
        <v/>
      </c>
      <c r="Q29" s="25" t="str">
        <f t="shared" si="19"/>
        <v/>
      </c>
    </row>
    <row r="30" spans="1:17">
      <c r="A30" s="11" t="s">
        <v>54</v>
      </c>
      <c r="B30" s="12" t="s">
        <v>0</v>
      </c>
      <c r="C30" s="12" t="s">
        <v>1</v>
      </c>
      <c r="D30" s="12" t="s">
        <v>2</v>
      </c>
      <c r="E30" s="12" t="s">
        <v>3</v>
      </c>
      <c r="F30" s="14">
        <f>COUNTIFS($G:$G,B30)+COUNTIFS($G:$G,C30)+COUNTIFS($G:$G,D30)+COUNTIFS($G:$G,E30)</f>
        <v>2</v>
      </c>
      <c r="G30" s="26">
        <v>1</v>
      </c>
      <c r="H30" s="27"/>
      <c r="I30" s="25"/>
      <c r="J30" s="25"/>
      <c r="K30" s="25"/>
      <c r="L30" s="25"/>
      <c r="M30" s="25" t="str">
        <f t="shared" si="0"/>
        <v/>
      </c>
      <c r="N30" s="25" t="str">
        <f t="shared" ref="N30:Q30" si="20">IF(COUNTIFS($G$1:$G$7,I30)=1,I30,"")</f>
        <v/>
      </c>
      <c r="O30" s="25" t="str">
        <f t="shared" si="20"/>
        <v/>
      </c>
      <c r="P30" s="25" t="str">
        <f t="shared" si="20"/>
        <v/>
      </c>
      <c r="Q30" s="25" t="str">
        <f t="shared" si="20"/>
        <v/>
      </c>
    </row>
    <row r="31" spans="1:17">
      <c r="A31" s="11" t="s">
        <v>55</v>
      </c>
      <c r="B31" s="12" t="s">
        <v>0</v>
      </c>
      <c r="C31" s="12" t="s">
        <v>1</v>
      </c>
      <c r="D31" s="12" t="s">
        <v>20</v>
      </c>
      <c r="E31" s="12" t="s">
        <v>3</v>
      </c>
      <c r="F31" s="14">
        <f>COUNTIFS($G:$G,B31)+COUNTIFS($G:$G,C31)+COUNTIFS($G:$G,D31)+COUNTIFS($G:$G,E31)</f>
        <v>2</v>
      </c>
      <c r="G31" s="26">
        <v>1</v>
      </c>
      <c r="H31" s="27"/>
      <c r="I31" s="25"/>
      <c r="J31" s="25"/>
      <c r="K31" s="25"/>
      <c r="L31" s="25"/>
      <c r="M31" s="25" t="str">
        <f t="shared" si="0"/>
        <v/>
      </c>
      <c r="N31" s="25" t="str">
        <f t="shared" ref="N31:Q31" si="21">IF(COUNTIFS($G$1:$G$7,I31)=1,I31,"")</f>
        <v/>
      </c>
      <c r="O31" s="25" t="str">
        <f t="shared" si="21"/>
        <v/>
      </c>
      <c r="P31" s="25" t="str">
        <f t="shared" si="21"/>
        <v/>
      </c>
      <c r="Q31" s="25" t="str">
        <f t="shared" si="21"/>
        <v/>
      </c>
    </row>
    <row r="32" spans="1:17">
      <c r="A32" s="11" t="s">
        <v>56</v>
      </c>
      <c r="B32" s="12" t="s">
        <v>0</v>
      </c>
      <c r="C32" s="12" t="s">
        <v>1</v>
      </c>
      <c r="D32" s="12" t="s">
        <v>15</v>
      </c>
      <c r="E32" s="12" t="s">
        <v>3</v>
      </c>
      <c r="F32" s="14">
        <f>COUNTIFS($G:$G,B32)+COUNTIFS($G:$G,C32)+COUNTIFS($G:$G,D32)+COUNTIFS($G:$G,E32)</f>
        <v>2</v>
      </c>
      <c r="G32" s="26">
        <v>1</v>
      </c>
      <c r="H32" s="27"/>
      <c r="I32" s="25"/>
      <c r="J32" s="25"/>
      <c r="K32" s="25"/>
      <c r="L32" s="25"/>
      <c r="M32" s="25" t="str">
        <f t="shared" si="0"/>
        <v/>
      </c>
      <c r="N32" s="25" t="str">
        <f t="shared" ref="N32:Q32" si="22">IF(COUNTIFS($G$1:$G$7,I32)=1,I32,"")</f>
        <v/>
      </c>
      <c r="O32" s="25" t="str">
        <f t="shared" si="22"/>
        <v/>
      </c>
      <c r="P32" s="25" t="str">
        <f t="shared" si="22"/>
        <v/>
      </c>
      <c r="Q32" s="25" t="str">
        <f t="shared" si="22"/>
        <v/>
      </c>
    </row>
    <row r="33" spans="1:17">
      <c r="A33" s="11" t="s">
        <v>57</v>
      </c>
      <c r="B33" s="12" t="s">
        <v>0</v>
      </c>
      <c r="C33" s="12" t="s">
        <v>1</v>
      </c>
      <c r="D33" s="12" t="s">
        <v>20</v>
      </c>
      <c r="E33" s="12" t="s">
        <v>3</v>
      </c>
      <c r="F33" s="14">
        <f>COUNTIFS($G:$G,B33)+COUNTIFS($G:$G,C33)+COUNTIFS($G:$G,D33)+COUNTIFS($G:$G,E33)</f>
        <v>2</v>
      </c>
      <c r="G33" s="26">
        <v>1</v>
      </c>
      <c r="H33" s="27"/>
      <c r="I33" s="25"/>
      <c r="J33" s="25"/>
      <c r="K33" s="25"/>
      <c r="L33" s="25"/>
      <c r="M33" s="25" t="str">
        <f t="shared" si="0"/>
        <v/>
      </c>
      <c r="N33" s="25" t="str">
        <f t="shared" ref="N33:Q33" si="23">IF(COUNTIFS($G$1:$G$7,I33)=1,I33,"")</f>
        <v/>
      </c>
      <c r="O33" s="25" t="str">
        <f t="shared" si="23"/>
        <v/>
      </c>
      <c r="P33" s="25" t="str">
        <f t="shared" si="23"/>
        <v/>
      </c>
      <c r="Q33" s="25" t="str">
        <f t="shared" si="23"/>
        <v/>
      </c>
    </row>
    <row r="34" spans="1:17">
      <c r="A34" s="11" t="s">
        <v>58</v>
      </c>
      <c r="B34" s="12" t="s">
        <v>0</v>
      </c>
      <c r="C34" s="12" t="s">
        <v>1</v>
      </c>
      <c r="D34" s="12" t="s">
        <v>20</v>
      </c>
      <c r="E34" s="12" t="s">
        <v>3</v>
      </c>
      <c r="F34" s="14">
        <f>COUNTIFS($G:$G,B34)+COUNTIFS($G:$G,C34)+COUNTIFS($G:$G,D34)+COUNTIFS($G:$G,E34)</f>
        <v>2</v>
      </c>
      <c r="G34" s="26">
        <v>1</v>
      </c>
      <c r="H34" s="27"/>
      <c r="I34" s="25"/>
      <c r="J34" s="25"/>
      <c r="K34" s="25"/>
      <c r="L34" s="25"/>
      <c r="M34" s="25" t="str">
        <f t="shared" si="0"/>
        <v/>
      </c>
      <c r="N34" s="25" t="str">
        <f t="shared" ref="N34:Q34" si="24">IF(COUNTIFS($G$1:$G$7,I34)=1,I34,"")</f>
        <v/>
      </c>
      <c r="O34" s="25" t="str">
        <f t="shared" si="24"/>
        <v/>
      </c>
      <c r="P34" s="25" t="str">
        <f t="shared" si="24"/>
        <v/>
      </c>
      <c r="Q34" s="25" t="str">
        <f t="shared" si="24"/>
        <v/>
      </c>
    </row>
    <row r="35" spans="1:17">
      <c r="A35" s="11" t="s">
        <v>59</v>
      </c>
      <c r="B35" s="12" t="s">
        <v>9</v>
      </c>
      <c r="C35" s="12" t="s">
        <v>14</v>
      </c>
      <c r="D35" s="12" t="s">
        <v>11</v>
      </c>
      <c r="E35" s="12" t="s">
        <v>12</v>
      </c>
      <c r="F35" s="14">
        <f>COUNTIFS($G:$G,B35)+COUNTIFS($G:$G,C35)+COUNTIFS($G:$G,D35)+COUNTIFS($G:$G,E35)</f>
        <v>1</v>
      </c>
      <c r="G35" s="26">
        <v>1</v>
      </c>
      <c r="H35" s="27"/>
      <c r="I35" s="25"/>
      <c r="J35" s="25"/>
      <c r="K35" s="25"/>
      <c r="L35" s="25"/>
      <c r="M35" s="25" t="str">
        <f t="shared" si="0"/>
        <v/>
      </c>
      <c r="N35" s="25" t="str">
        <f t="shared" ref="N35:Q35" si="25">IF(COUNTIFS($G$1:$G$7,I35)=1,I35,"")</f>
        <v/>
      </c>
      <c r="O35" s="25" t="str">
        <f t="shared" si="25"/>
        <v/>
      </c>
      <c r="P35" s="25" t="str">
        <f t="shared" si="25"/>
        <v/>
      </c>
      <c r="Q35" s="25" t="str">
        <f t="shared" si="25"/>
        <v/>
      </c>
    </row>
    <row r="36" spans="1:17">
      <c r="A36" s="11" t="s">
        <v>60</v>
      </c>
      <c r="B36" s="12" t="s">
        <v>9</v>
      </c>
      <c r="C36" s="12" t="s">
        <v>5</v>
      </c>
      <c r="D36" s="12" t="s">
        <v>6</v>
      </c>
      <c r="E36" s="12" t="s">
        <v>12</v>
      </c>
      <c r="F36" s="14">
        <f>COUNTIFS($G:$G,B36)+COUNTIFS($G:$G,C36)+COUNTIFS($G:$G,D36)+COUNTIFS($G:$G,E36)</f>
        <v>2</v>
      </c>
      <c r="G36" s="26">
        <v>1</v>
      </c>
      <c r="H36" s="27"/>
      <c r="I36" s="25"/>
      <c r="J36" s="25"/>
      <c r="K36" s="25"/>
      <c r="L36" s="25"/>
      <c r="M36" s="25" t="str">
        <f t="shared" si="0"/>
        <v/>
      </c>
      <c r="N36" s="25" t="str">
        <f t="shared" ref="N36:Q36" si="26">IF(COUNTIFS($G$1:$G$7,I36)=1,I36,"")</f>
        <v/>
      </c>
      <c r="O36" s="25" t="str">
        <f t="shared" si="26"/>
        <v/>
      </c>
      <c r="P36" s="25" t="str">
        <f t="shared" si="26"/>
        <v/>
      </c>
      <c r="Q36" s="25" t="str">
        <f t="shared" si="26"/>
        <v/>
      </c>
    </row>
    <row r="37" spans="1:17">
      <c r="A37" s="11" t="s">
        <v>61</v>
      </c>
      <c r="B37" s="12" t="s">
        <v>9</v>
      </c>
      <c r="C37" s="12" t="s">
        <v>1</v>
      </c>
      <c r="D37" s="12" t="s">
        <v>2</v>
      </c>
      <c r="E37" s="12" t="s">
        <v>12</v>
      </c>
      <c r="F37" s="14">
        <f>COUNTIFS($G:$G,B37)+COUNTIFS($G:$G,C37)+COUNTIFS($G:$G,D37)+COUNTIFS($G:$G,E37)</f>
        <v>2</v>
      </c>
      <c r="G37" s="26">
        <v>1</v>
      </c>
      <c r="H37" s="27"/>
      <c r="I37" s="25"/>
      <c r="J37" s="25"/>
      <c r="K37" s="25"/>
      <c r="L37" s="25"/>
      <c r="M37" s="25" t="str">
        <f t="shared" si="0"/>
        <v/>
      </c>
      <c r="N37" s="25" t="str">
        <f t="shared" ref="N37:Q37" si="27">IF(COUNTIFS($G$1:$G$7,I37)=1,I37,"")</f>
        <v/>
      </c>
      <c r="O37" s="25" t="str">
        <f t="shared" si="27"/>
        <v/>
      </c>
      <c r="P37" s="25" t="str">
        <f t="shared" si="27"/>
        <v/>
      </c>
      <c r="Q37" s="25" t="str">
        <f t="shared" si="27"/>
        <v/>
      </c>
    </row>
    <row r="38" spans="1:17">
      <c r="A38" s="11" t="s">
        <v>62</v>
      </c>
      <c r="B38" s="12" t="s">
        <v>13</v>
      </c>
      <c r="C38" s="12" t="s">
        <v>5</v>
      </c>
      <c r="D38" s="12" t="s">
        <v>2</v>
      </c>
      <c r="E38" s="12" t="s">
        <v>12</v>
      </c>
      <c r="F38" s="14">
        <f>COUNTIFS($G:$G,B38)+COUNTIFS($G:$G,C38)+COUNTIFS($G:$G,D38)+COUNTIFS($G:$G,E38)</f>
        <v>1</v>
      </c>
      <c r="G38" s="26">
        <v>1</v>
      </c>
      <c r="H38" s="27"/>
      <c r="I38" s="25"/>
      <c r="J38" s="25"/>
      <c r="K38" s="25"/>
      <c r="L38" s="25"/>
      <c r="M38" s="25" t="str">
        <f t="shared" si="0"/>
        <v/>
      </c>
      <c r="N38" s="25" t="str">
        <f t="shared" ref="N38:Q38" si="28">IF(COUNTIFS($G$1:$G$7,I38)=1,I38,"")</f>
        <v/>
      </c>
      <c r="O38" s="25" t="str">
        <f t="shared" si="28"/>
        <v/>
      </c>
      <c r="P38" s="25" t="str">
        <f t="shared" si="28"/>
        <v/>
      </c>
      <c r="Q38" s="25" t="str">
        <f t="shared" si="28"/>
        <v/>
      </c>
    </row>
    <row r="39" spans="1:17">
      <c r="A39" s="11" t="s">
        <v>63</v>
      </c>
      <c r="B39" s="12" t="s">
        <v>13</v>
      </c>
      <c r="C39" s="12" t="s">
        <v>5</v>
      </c>
      <c r="D39" s="12" t="s">
        <v>19</v>
      </c>
      <c r="E39" s="12" t="s">
        <v>12</v>
      </c>
      <c r="F39" s="14">
        <f>COUNTIFS($G:$G,B39)+COUNTIFS($G:$G,C39)+COUNTIFS($G:$G,D39)+COUNTIFS($G:$G,E39)</f>
        <v>1</v>
      </c>
      <c r="G39" s="26">
        <v>1</v>
      </c>
      <c r="H39" s="27"/>
      <c r="I39" s="25"/>
      <c r="J39" s="25"/>
      <c r="K39" s="25"/>
      <c r="L39" s="25"/>
      <c r="M39" s="25" t="str">
        <f t="shared" si="0"/>
        <v/>
      </c>
      <c r="N39" s="25" t="str">
        <f t="shared" ref="N39:Q39" si="29">IF(COUNTIFS($G$1:$G$7,I39)=1,I39,"")</f>
        <v/>
      </c>
      <c r="O39" s="25" t="str">
        <f t="shared" si="29"/>
        <v/>
      </c>
      <c r="P39" s="25" t="str">
        <f t="shared" si="29"/>
        <v/>
      </c>
      <c r="Q39" s="25" t="str">
        <f t="shared" si="29"/>
        <v/>
      </c>
    </row>
    <row r="40" spans="1:17">
      <c r="A40" s="11" t="s">
        <v>64</v>
      </c>
      <c r="B40" s="12" t="s">
        <v>13</v>
      </c>
      <c r="C40" s="12" t="s">
        <v>1</v>
      </c>
      <c r="D40" s="12" t="s">
        <v>19</v>
      </c>
      <c r="E40" s="12" t="s">
        <v>12</v>
      </c>
      <c r="F40" s="14">
        <f>COUNTIFS($G:$G,B40)+COUNTIFS($G:$G,C40)+COUNTIFS($G:$G,D40)+COUNTIFS($G:$G,E40)</f>
        <v>2</v>
      </c>
      <c r="G40" s="26">
        <v>1</v>
      </c>
      <c r="H40" s="27"/>
      <c r="I40" s="25"/>
      <c r="J40" s="25"/>
      <c r="K40" s="25"/>
      <c r="L40" s="25"/>
      <c r="M40" s="25" t="str">
        <f t="shared" si="0"/>
        <v/>
      </c>
      <c r="N40" s="25" t="str">
        <f t="shared" ref="N40:Q40" si="30">IF(COUNTIFS($G$1:$G$7,I40)=1,I40,"")</f>
        <v/>
      </c>
      <c r="O40" s="25" t="str">
        <f t="shared" si="30"/>
        <v/>
      </c>
      <c r="P40" s="25" t="str">
        <f t="shared" si="30"/>
        <v/>
      </c>
      <c r="Q40" s="25" t="str">
        <f t="shared" si="30"/>
        <v/>
      </c>
    </row>
    <row r="41" spans="1:17">
      <c r="A41" s="11" t="s">
        <v>65</v>
      </c>
      <c r="B41" s="12" t="s">
        <v>4</v>
      </c>
      <c r="C41" s="12" t="s">
        <v>10</v>
      </c>
      <c r="D41" s="12" t="s">
        <v>20</v>
      </c>
      <c r="E41" s="12" t="s">
        <v>12</v>
      </c>
      <c r="F41" s="14">
        <f>COUNTIFS($G:$G,B41)+COUNTIFS($G:$G,C41)+COUNTIFS($G:$G,D41)+COUNTIFS($G:$G,E41)</f>
        <v>0</v>
      </c>
      <c r="G41" s="26">
        <v>1</v>
      </c>
      <c r="H41" s="27"/>
      <c r="I41" s="25"/>
      <c r="J41" s="25"/>
      <c r="K41" s="25"/>
      <c r="L41" s="25"/>
      <c r="M41" s="25" t="str">
        <f t="shared" si="0"/>
        <v/>
      </c>
      <c r="N41" s="25" t="str">
        <f t="shared" ref="N41:Q41" si="31">IF(COUNTIFS($G$1:$G$7,I41)=1,I41,"")</f>
        <v/>
      </c>
      <c r="O41" s="25" t="str">
        <f t="shared" si="31"/>
        <v/>
      </c>
      <c r="P41" s="25" t="str">
        <f t="shared" si="31"/>
        <v/>
      </c>
      <c r="Q41" s="25" t="str">
        <f t="shared" si="31"/>
        <v/>
      </c>
    </row>
    <row r="42" spans="1:17">
      <c r="A42" s="11" t="s">
        <v>66</v>
      </c>
      <c r="B42" s="12" t="s">
        <v>4</v>
      </c>
      <c r="C42" s="12" t="s">
        <v>1</v>
      </c>
      <c r="D42" s="12" t="s">
        <v>2</v>
      </c>
      <c r="E42" s="12" t="s">
        <v>12</v>
      </c>
      <c r="F42" s="14">
        <f>COUNTIFS($G:$G,B42)+COUNTIFS($G:$G,C42)+COUNTIFS($G:$G,D42)+COUNTIFS($G:$G,E42)</f>
        <v>1</v>
      </c>
      <c r="G42" s="26">
        <v>1</v>
      </c>
      <c r="H42" s="27"/>
      <c r="I42" s="25"/>
      <c r="J42" s="25"/>
      <c r="K42" s="25"/>
      <c r="L42" s="25"/>
      <c r="M42" s="25" t="str">
        <f t="shared" si="0"/>
        <v/>
      </c>
      <c r="N42" s="25" t="str">
        <f t="shared" ref="N42:Q42" si="32">IF(COUNTIFS($G$1:$G$7,I42)=1,I42,"")</f>
        <v/>
      </c>
      <c r="O42" s="25" t="str">
        <f t="shared" si="32"/>
        <v/>
      </c>
      <c r="P42" s="25" t="str">
        <f t="shared" si="32"/>
        <v/>
      </c>
      <c r="Q42" s="25" t="str">
        <f t="shared" si="32"/>
        <v/>
      </c>
    </row>
    <row r="43" spans="1:17">
      <c r="A43" s="11" t="s">
        <v>67</v>
      </c>
      <c r="B43" s="12" t="s">
        <v>0</v>
      </c>
      <c r="C43" s="12" t="s">
        <v>1</v>
      </c>
      <c r="D43" s="12" t="s">
        <v>20</v>
      </c>
      <c r="E43" s="12" t="s">
        <v>12</v>
      </c>
      <c r="F43" s="14">
        <f>COUNTIFS($G:$G,B43)+COUNTIFS($G:$G,C43)+COUNTIFS($G:$G,D43)+COUNTIFS($G:$G,E43)</f>
        <v>1</v>
      </c>
      <c r="G43" s="26">
        <v>1</v>
      </c>
      <c r="H43" s="27"/>
      <c r="I43" s="25"/>
      <c r="J43" s="25"/>
      <c r="K43" s="25"/>
      <c r="L43" s="25"/>
      <c r="M43" s="25" t="str">
        <f t="shared" si="0"/>
        <v/>
      </c>
      <c r="N43" s="25" t="str">
        <f t="shared" ref="N43:Q43" si="33">IF(COUNTIFS($G$1:$G$7,I43)=1,I43,"")</f>
        <v/>
      </c>
      <c r="O43" s="25" t="str">
        <f t="shared" si="33"/>
        <v/>
      </c>
      <c r="P43" s="25" t="str">
        <f t="shared" si="33"/>
        <v/>
      </c>
      <c r="Q43" s="25" t="str">
        <f t="shared" si="33"/>
        <v/>
      </c>
    </row>
    <row r="44" spans="1:17">
      <c r="A44" s="11" t="s">
        <v>68</v>
      </c>
      <c r="B44" s="12" t="s">
        <v>0</v>
      </c>
      <c r="C44" s="12" t="s">
        <v>5</v>
      </c>
      <c r="D44" s="12" t="s">
        <v>15</v>
      </c>
      <c r="E44" s="12" t="s">
        <v>12</v>
      </c>
      <c r="F44" s="14">
        <f>COUNTIFS($G:$G,B44)+COUNTIFS($G:$G,C44)+COUNTIFS($G:$G,D44)+COUNTIFS($G:$G,E44)</f>
        <v>0</v>
      </c>
      <c r="G44" s="26">
        <v>1</v>
      </c>
      <c r="H44" s="27"/>
      <c r="I44" s="25"/>
      <c r="J44" s="25"/>
      <c r="K44" s="25"/>
      <c r="L44" s="25"/>
      <c r="M44" s="25" t="str">
        <f t="shared" si="0"/>
        <v/>
      </c>
      <c r="N44" s="25" t="str">
        <f t="shared" ref="N44:Q44" si="34">IF(COUNTIFS($G$1:$G$7,I44)=1,I44,"")</f>
        <v/>
      </c>
      <c r="O44" s="25" t="str">
        <f t="shared" si="34"/>
        <v/>
      </c>
      <c r="P44" s="25" t="str">
        <f t="shared" si="34"/>
        <v/>
      </c>
      <c r="Q44" s="25" t="str">
        <f t="shared" si="34"/>
        <v/>
      </c>
    </row>
    <row r="45" spans="1:17">
      <c r="A45" s="11" t="s">
        <v>69</v>
      </c>
      <c r="B45" s="12" t="s">
        <v>0</v>
      </c>
      <c r="C45" s="12" t="s">
        <v>1</v>
      </c>
      <c r="D45" s="12" t="s">
        <v>2</v>
      </c>
      <c r="E45" s="12" t="s">
        <v>12</v>
      </c>
      <c r="F45" s="14">
        <f>COUNTIFS($G:$G,B45)+COUNTIFS($G:$G,C45)+COUNTIFS($G:$G,D45)+COUNTIFS($G:$G,E45)</f>
        <v>1</v>
      </c>
      <c r="G45" s="26">
        <v>1</v>
      </c>
      <c r="H45" s="27"/>
      <c r="I45" s="25"/>
      <c r="J45" s="25"/>
      <c r="K45" s="25"/>
      <c r="L45" s="25"/>
      <c r="M45" s="25" t="str">
        <f t="shared" si="0"/>
        <v/>
      </c>
      <c r="N45" s="25" t="str">
        <f t="shared" ref="N45:Q45" si="35">IF(COUNTIFS($G$1:$G$7,I45)=1,I45,"")</f>
        <v/>
      </c>
      <c r="O45" s="25" t="str">
        <f t="shared" si="35"/>
        <v/>
      </c>
      <c r="P45" s="25" t="str">
        <f t="shared" si="35"/>
        <v/>
      </c>
      <c r="Q45" s="25" t="str">
        <f t="shared" si="35"/>
        <v/>
      </c>
    </row>
    <row r="46" spans="1:17">
      <c r="A46" s="11" t="s">
        <v>70</v>
      </c>
      <c r="B46" s="12" t="s">
        <v>0</v>
      </c>
      <c r="C46" s="12" t="s">
        <v>1</v>
      </c>
      <c r="D46" s="12" t="s">
        <v>2</v>
      </c>
      <c r="E46" s="12" t="s">
        <v>12</v>
      </c>
      <c r="F46" s="14">
        <f>COUNTIFS($G:$G,B46)+COUNTIFS($G:$G,C46)+COUNTIFS($G:$G,D46)+COUNTIFS($G:$G,E46)</f>
        <v>1</v>
      </c>
      <c r="G46" s="26">
        <v>1</v>
      </c>
      <c r="H46" s="27"/>
      <c r="I46" s="25"/>
      <c r="J46" s="25"/>
      <c r="K46" s="25"/>
      <c r="L46" s="25"/>
      <c r="M46" s="25" t="str">
        <f t="shared" si="0"/>
        <v/>
      </c>
      <c r="N46" s="25" t="str">
        <f t="shared" ref="N46:Q46" si="36">IF(COUNTIFS($G$1:$G$7,I46)=1,I46,"")</f>
        <v/>
      </c>
      <c r="O46" s="25" t="str">
        <f t="shared" si="36"/>
        <v/>
      </c>
      <c r="P46" s="25" t="str">
        <f t="shared" si="36"/>
        <v/>
      </c>
      <c r="Q46" s="25" t="str">
        <f t="shared" si="36"/>
        <v/>
      </c>
    </row>
    <row r="47" spans="1:17">
      <c r="A47" s="11" t="s">
        <v>71</v>
      </c>
      <c r="B47" s="12" t="s">
        <v>4</v>
      </c>
      <c r="C47" s="12" t="s">
        <v>1</v>
      </c>
      <c r="D47" s="12" t="s">
        <v>6</v>
      </c>
      <c r="E47" s="12" t="s">
        <v>21</v>
      </c>
      <c r="F47" s="14">
        <f>COUNTIFS($G:$G,B47)+COUNTIFS($G:$G,C47)+COUNTIFS($G:$G,D47)+COUNTIFS($G:$G,E47)</f>
        <v>2</v>
      </c>
      <c r="G47" s="26">
        <v>1</v>
      </c>
      <c r="H47" s="27"/>
      <c r="I47" s="25"/>
      <c r="J47" s="25"/>
      <c r="K47" s="25"/>
      <c r="L47" s="25"/>
      <c r="M47" s="25" t="str">
        <f t="shared" si="0"/>
        <v/>
      </c>
      <c r="N47" s="25" t="str">
        <f t="shared" ref="N47:Q47" si="37">IF(COUNTIFS($G$1:$G$7,I47)=1,I47,"")</f>
        <v/>
      </c>
      <c r="O47" s="25" t="str">
        <f t="shared" si="37"/>
        <v/>
      </c>
      <c r="P47" s="25" t="str">
        <f t="shared" si="37"/>
        <v/>
      </c>
      <c r="Q47" s="25" t="str">
        <f t="shared" si="37"/>
        <v/>
      </c>
    </row>
    <row r="48" spans="1:17">
      <c r="A48" s="11" t="s">
        <v>72</v>
      </c>
      <c r="B48" s="12" t="s">
        <v>0</v>
      </c>
      <c r="C48" s="12" t="s">
        <v>1</v>
      </c>
      <c r="D48" s="12" t="s">
        <v>6</v>
      </c>
      <c r="E48" s="12" t="s">
        <v>21</v>
      </c>
      <c r="F48" s="14">
        <f>COUNTIFS($G:$G,B48)+COUNTIFS($G:$G,C48)+COUNTIFS($G:$G,D48)+COUNTIFS($G:$G,E48)</f>
        <v>2</v>
      </c>
      <c r="G48" s="26">
        <v>1</v>
      </c>
      <c r="H48" s="27"/>
      <c r="I48" s="25"/>
      <c r="J48" s="25"/>
      <c r="K48" s="25"/>
      <c r="L48" s="25"/>
      <c r="M48" s="25" t="str">
        <f t="shared" si="0"/>
        <v/>
      </c>
      <c r="N48" s="25" t="str">
        <f t="shared" ref="N48:Q48" si="38">IF(COUNTIFS($G$1:$G$7,I48)=1,I48,"")</f>
        <v/>
      </c>
      <c r="O48" s="25" t="str">
        <f t="shared" si="38"/>
        <v/>
      </c>
      <c r="P48" s="25" t="str">
        <f t="shared" si="38"/>
        <v/>
      </c>
      <c r="Q48" s="25" t="str">
        <f t="shared" si="38"/>
        <v/>
      </c>
    </row>
    <row r="49" spans="1:17">
      <c r="A49" s="11" t="s">
        <v>73</v>
      </c>
      <c r="B49" s="12" t="s">
        <v>9</v>
      </c>
      <c r="C49" s="12" t="s">
        <v>1</v>
      </c>
      <c r="D49" s="12" t="s">
        <v>6</v>
      </c>
      <c r="E49" s="12" t="s">
        <v>16</v>
      </c>
      <c r="F49" s="14">
        <f>COUNTIFS($G:$G,B49)+COUNTIFS($G:$G,C49)+COUNTIFS($G:$G,D49)+COUNTIFS($G:$G,E49)</f>
        <v>3</v>
      </c>
      <c r="G49" s="26">
        <v>1</v>
      </c>
      <c r="H49" s="27"/>
      <c r="I49" s="25"/>
      <c r="J49" s="25"/>
      <c r="K49" s="25"/>
      <c r="L49" s="25"/>
      <c r="M49" s="25" t="str">
        <f t="shared" si="0"/>
        <v/>
      </c>
      <c r="N49" s="25" t="str">
        <f t="shared" ref="N49:Q49" si="39">IF(COUNTIFS($G$1:$G$7,I49)=1,I49,"")</f>
        <v/>
      </c>
      <c r="O49" s="25" t="str">
        <f t="shared" si="39"/>
        <v/>
      </c>
      <c r="P49" s="25" t="str">
        <f t="shared" si="39"/>
        <v/>
      </c>
      <c r="Q49" s="25" t="str">
        <f t="shared" si="39"/>
        <v/>
      </c>
    </row>
    <row r="50" spans="1:17">
      <c r="A50" s="11" t="s">
        <v>74</v>
      </c>
      <c r="B50" s="12" t="s">
        <v>13</v>
      </c>
      <c r="C50" s="12" t="s">
        <v>5</v>
      </c>
      <c r="D50" s="12" t="s">
        <v>19</v>
      </c>
      <c r="E50" s="12" t="s">
        <v>16</v>
      </c>
      <c r="F50" s="14">
        <f>COUNTIFS($G:$G,B50)+COUNTIFS($G:$G,C50)+COUNTIFS($G:$G,D50)+COUNTIFS($G:$G,E50)</f>
        <v>1</v>
      </c>
      <c r="G50" s="26">
        <v>1</v>
      </c>
      <c r="H50" s="27"/>
      <c r="I50" s="25"/>
      <c r="J50" s="25"/>
      <c r="K50" s="25"/>
      <c r="L50" s="25"/>
      <c r="M50" s="25" t="str">
        <f t="shared" si="0"/>
        <v/>
      </c>
      <c r="N50" s="25" t="str">
        <f t="shared" ref="N50:Q50" si="40">IF(COUNTIFS($G$1:$G$7,I50)=1,I50,"")</f>
        <v/>
      </c>
      <c r="O50" s="25" t="str">
        <f t="shared" si="40"/>
        <v/>
      </c>
      <c r="P50" s="25" t="str">
        <f t="shared" si="40"/>
        <v/>
      </c>
      <c r="Q50" s="25" t="str">
        <f t="shared" si="40"/>
        <v/>
      </c>
    </row>
    <row r="51" spans="1:17">
      <c r="A51" s="11" t="s">
        <v>75</v>
      </c>
      <c r="B51" s="12" t="s">
        <v>13</v>
      </c>
      <c r="C51" s="12" t="s">
        <v>1</v>
      </c>
      <c r="D51" s="12" t="s">
        <v>11</v>
      </c>
      <c r="E51" s="12" t="s">
        <v>16</v>
      </c>
      <c r="F51" s="14">
        <f>COUNTIFS($G:$G,B51)+COUNTIFS($G:$G,C51)+COUNTIFS($G:$G,D51)+COUNTIFS($G:$G,E51)</f>
        <v>2</v>
      </c>
      <c r="G51" s="26">
        <v>1</v>
      </c>
      <c r="H51" s="27"/>
      <c r="I51" s="25"/>
      <c r="J51" s="25"/>
      <c r="K51" s="25"/>
      <c r="L51" s="25"/>
      <c r="M51" s="25" t="str">
        <f t="shared" si="0"/>
        <v/>
      </c>
      <c r="N51" s="25" t="str">
        <f t="shared" ref="N51:Q51" si="41">IF(COUNTIFS($G$1:$G$7,I51)=1,I51,"")</f>
        <v/>
      </c>
      <c r="O51" s="25" t="str">
        <f t="shared" si="41"/>
        <v/>
      </c>
      <c r="P51" s="25" t="str">
        <f t="shared" si="41"/>
        <v/>
      </c>
      <c r="Q51" s="25" t="str">
        <f t="shared" si="41"/>
        <v/>
      </c>
    </row>
    <row r="52" spans="1:17">
      <c r="A52" s="11" t="s">
        <v>76</v>
      </c>
      <c r="B52" s="12" t="s">
        <v>4</v>
      </c>
      <c r="C52" s="12" t="s">
        <v>1</v>
      </c>
      <c r="D52" s="12" t="s">
        <v>20</v>
      </c>
      <c r="E52" s="12" t="s">
        <v>16</v>
      </c>
      <c r="F52" s="14">
        <f>COUNTIFS($G:$G,B52)+COUNTIFS($G:$G,C52)+COUNTIFS($G:$G,D52)+COUNTIFS($G:$G,E52)</f>
        <v>1</v>
      </c>
      <c r="G52" s="26">
        <v>1</v>
      </c>
      <c r="H52" s="27"/>
      <c r="I52" s="25"/>
      <c r="J52" s="25"/>
      <c r="K52" s="25"/>
      <c r="L52" s="25"/>
      <c r="M52" s="25" t="str">
        <f t="shared" si="0"/>
        <v/>
      </c>
      <c r="N52" s="25" t="str">
        <f t="shared" ref="N52:Q52" si="42">IF(COUNTIFS($G$1:$G$7,I52)=1,I52,"")</f>
        <v/>
      </c>
      <c r="O52" s="25" t="str">
        <f t="shared" si="42"/>
        <v/>
      </c>
      <c r="P52" s="25" t="str">
        <f t="shared" si="42"/>
        <v/>
      </c>
      <c r="Q52" s="25" t="str">
        <f t="shared" si="42"/>
        <v/>
      </c>
    </row>
    <row r="53" spans="1:7">
      <c r="A53" s="11" t="s">
        <v>77</v>
      </c>
      <c r="B53" s="12" t="s">
        <v>4</v>
      </c>
      <c r="C53" s="12" t="s">
        <v>1</v>
      </c>
      <c r="D53" s="12" t="s">
        <v>2</v>
      </c>
      <c r="E53" s="12" t="s">
        <v>16</v>
      </c>
      <c r="F53" s="14">
        <f>COUNTIFS($G:$G,B53)+COUNTIFS($G:$G,C53)+COUNTIFS($G:$G,D53)+COUNTIFS($G:$G,E53)</f>
        <v>1</v>
      </c>
      <c r="G53" s="26">
        <v>1</v>
      </c>
    </row>
    <row r="54" spans="1:7">
      <c r="A54" s="11" t="s">
        <v>78</v>
      </c>
      <c r="B54" s="12" t="s">
        <v>4</v>
      </c>
      <c r="C54" s="12" t="s">
        <v>1</v>
      </c>
      <c r="D54" s="12" t="s">
        <v>2</v>
      </c>
      <c r="E54" s="12" t="s">
        <v>16</v>
      </c>
      <c r="F54" s="14">
        <f>COUNTIFS($G:$G,B54)+COUNTIFS($G:$G,C54)+COUNTIFS($G:$G,D54)+COUNTIFS($G:$G,E54)</f>
        <v>1</v>
      </c>
      <c r="G54" s="26">
        <v>1</v>
      </c>
    </row>
    <row r="55" spans="1:7">
      <c r="A55" s="11" t="s">
        <v>79</v>
      </c>
      <c r="B55" s="12" t="s">
        <v>0</v>
      </c>
      <c r="C55" s="12" t="s">
        <v>1</v>
      </c>
      <c r="D55" s="12" t="s">
        <v>2</v>
      </c>
      <c r="E55" s="12" t="s">
        <v>16</v>
      </c>
      <c r="F55" s="14">
        <f>COUNTIFS($G:$G,B55)+COUNTIFS($G:$G,C55)+COUNTIFS($G:$G,D55)+COUNTIFS($G:$G,E55)</f>
        <v>1</v>
      </c>
      <c r="G55" s="26">
        <v>1</v>
      </c>
    </row>
    <row r="56" spans="1:7">
      <c r="A56" s="11" t="s">
        <v>80</v>
      </c>
      <c r="B56" s="12" t="s">
        <v>0</v>
      </c>
      <c r="C56" s="12" t="s">
        <v>1</v>
      </c>
      <c r="D56" s="12" t="s">
        <v>2</v>
      </c>
      <c r="E56" s="12" t="s">
        <v>16</v>
      </c>
      <c r="F56" s="14">
        <f>COUNTIFS($G:$G,B56)+COUNTIFS($G:$G,C56)+COUNTIFS($G:$G,D56)+COUNTIFS($G:$G,E56)</f>
        <v>1</v>
      </c>
      <c r="G56" s="26">
        <v>1</v>
      </c>
    </row>
    <row r="57" spans="1:7">
      <c r="A57" s="11" t="s">
        <v>81</v>
      </c>
      <c r="B57" s="12" t="s">
        <v>0</v>
      </c>
      <c r="C57" s="12" t="s">
        <v>1</v>
      </c>
      <c r="D57" s="12" t="s">
        <v>2</v>
      </c>
      <c r="E57" s="12" t="s">
        <v>16</v>
      </c>
      <c r="F57" s="14">
        <f>COUNTIFS($G:$G,B57)+COUNTIFS($G:$G,C57)+COUNTIFS($G:$G,D57)+COUNTIFS($G:$G,E57)</f>
        <v>1</v>
      </c>
      <c r="G57" s="26">
        <v>1</v>
      </c>
    </row>
    <row r="58" spans="1:7">
      <c r="A58" s="11" t="s">
        <v>82</v>
      </c>
      <c r="B58" s="12" t="s">
        <v>0</v>
      </c>
      <c r="C58" s="12" t="s">
        <v>1</v>
      </c>
      <c r="D58" s="12" t="s">
        <v>2</v>
      </c>
      <c r="E58" s="12" t="s">
        <v>16</v>
      </c>
      <c r="F58" s="14">
        <f>COUNTIFS($G:$G,B58)+COUNTIFS($G:$G,C58)+COUNTIFS($G:$G,D58)+COUNTIFS($G:$G,E58)</f>
        <v>1</v>
      </c>
      <c r="G58" s="26">
        <v>1</v>
      </c>
    </row>
    <row r="59" spans="1:7">
      <c r="A59" s="11" t="s">
        <v>83</v>
      </c>
      <c r="B59" s="12" t="s">
        <v>0</v>
      </c>
      <c r="C59" s="12" t="s">
        <v>10</v>
      </c>
      <c r="D59" s="12" t="s">
        <v>11</v>
      </c>
      <c r="E59" s="12" t="s">
        <v>16</v>
      </c>
      <c r="F59" s="14">
        <f>COUNTIFS($G:$G,B59)+COUNTIFS($G:$G,C59)+COUNTIFS($G:$G,D59)+COUNTIFS($G:$G,E59)</f>
        <v>0</v>
      </c>
      <c r="G59" s="26">
        <v>1</v>
      </c>
    </row>
    <row r="60" spans="1:7">
      <c r="A60" s="13" t="s">
        <v>84</v>
      </c>
      <c r="B60" s="14" t="s">
        <v>0</v>
      </c>
      <c r="C60" s="14" t="s">
        <v>1</v>
      </c>
      <c r="D60" s="14" t="s">
        <v>11</v>
      </c>
      <c r="E60" s="14" t="s">
        <v>23</v>
      </c>
      <c r="F60" s="14">
        <f>COUNTIFS($G:$G,B60)+COUNTIFS($G:$G,C60)+COUNTIFS($G:$G,D60)+COUNTIFS($G:$G,E60)</f>
        <v>2</v>
      </c>
      <c r="G60" s="28">
        <v>1</v>
      </c>
    </row>
    <row r="61" spans="1:7">
      <c r="A61" s="13" t="s">
        <v>85</v>
      </c>
      <c r="B61" s="14" t="s">
        <v>0</v>
      </c>
      <c r="C61" s="14" t="s">
        <v>1</v>
      </c>
      <c r="D61" s="14" t="s">
        <v>15</v>
      </c>
      <c r="E61" s="14" t="s">
        <v>23</v>
      </c>
      <c r="F61" s="14">
        <f>COUNTIFS($G:$G,B61)+COUNTIFS($G:$G,C61)+COUNTIFS($G:$G,D61)+COUNTIFS($G:$G,E61)</f>
        <v>2</v>
      </c>
      <c r="G61" s="28">
        <v>1</v>
      </c>
    </row>
    <row r="62" spans="1:7">
      <c r="A62" s="13" t="s">
        <v>86</v>
      </c>
      <c r="B62" s="14" t="s">
        <v>0</v>
      </c>
      <c r="C62" s="14" t="s">
        <v>1</v>
      </c>
      <c r="D62" s="14" t="s">
        <v>19</v>
      </c>
      <c r="E62" s="14" t="s">
        <v>23</v>
      </c>
      <c r="F62" s="14">
        <f>COUNTIFS($G:$G,B62)+COUNTIFS($G:$G,C62)+COUNTIFS($G:$G,D62)+COUNTIFS($G:$G,E62)</f>
        <v>2</v>
      </c>
      <c r="G62" s="28">
        <v>1</v>
      </c>
    </row>
    <row r="63" spans="1:7">
      <c r="A63" s="13" t="s">
        <v>87</v>
      </c>
      <c r="B63" s="14" t="s">
        <v>9</v>
      </c>
      <c r="C63" s="14" t="s">
        <v>1</v>
      </c>
      <c r="D63" s="14" t="s">
        <v>15</v>
      </c>
      <c r="E63" s="14" t="s">
        <v>23</v>
      </c>
      <c r="F63" s="14">
        <f>COUNTIFS($G:$G,B63)+COUNTIFS($G:$G,C63)+COUNTIFS($G:$G,D63)+COUNTIFS($G:$G,E63)</f>
        <v>3</v>
      </c>
      <c r="G63" s="28">
        <v>1</v>
      </c>
    </row>
    <row r="64" spans="1:7">
      <c r="A64" s="15" t="s">
        <v>88</v>
      </c>
      <c r="B64" s="16" t="s">
        <v>9</v>
      </c>
      <c r="C64" s="16" t="s">
        <v>5</v>
      </c>
      <c r="D64" s="16" t="s">
        <v>6</v>
      </c>
      <c r="E64" s="16" t="s">
        <v>17</v>
      </c>
      <c r="F64" s="29">
        <f>COUNTIFS($G:$G,B64)+COUNTIFS($G:$G,C64)+COUNTIFS($G:$G,D64)+COUNTIFS($G:$G,E64)</f>
        <v>3</v>
      </c>
      <c r="G64" s="30">
        <v>2</v>
      </c>
    </row>
    <row r="65" spans="1:7">
      <c r="A65" s="15" t="s">
        <v>89</v>
      </c>
      <c r="B65" s="16" t="s">
        <v>4</v>
      </c>
      <c r="C65" s="16" t="s">
        <v>1</v>
      </c>
      <c r="D65" s="16" t="s">
        <v>6</v>
      </c>
      <c r="E65" s="16" t="s">
        <v>17</v>
      </c>
      <c r="F65" s="29">
        <f>COUNTIFS($G:$G,B65)+COUNTIFS($G:$G,C65)+COUNTIFS($G:$G,D65)+COUNTIFS($G:$G,E65)</f>
        <v>3</v>
      </c>
      <c r="G65" s="30">
        <v>2</v>
      </c>
    </row>
    <row r="66" spans="1:7">
      <c r="A66" s="15" t="s">
        <v>90</v>
      </c>
      <c r="B66" s="16" t="s">
        <v>0</v>
      </c>
      <c r="C66" s="16" t="s">
        <v>1</v>
      </c>
      <c r="D66" s="16" t="s">
        <v>6</v>
      </c>
      <c r="E66" s="16" t="s">
        <v>17</v>
      </c>
      <c r="F66" s="29">
        <f>COUNTIFS($G:$G,B66)+COUNTIFS($G:$G,C66)+COUNTIFS($G:$G,D66)+COUNTIFS($G:$G,E66)</f>
        <v>3</v>
      </c>
      <c r="G66" s="30">
        <v>2</v>
      </c>
    </row>
    <row r="67" spans="1:7">
      <c r="A67" s="15" t="s">
        <v>91</v>
      </c>
      <c r="B67" s="16" t="s">
        <v>0</v>
      </c>
      <c r="C67" s="16" t="s">
        <v>14</v>
      </c>
      <c r="D67" s="16" t="s">
        <v>11</v>
      </c>
      <c r="E67" s="16" t="s">
        <v>17</v>
      </c>
      <c r="F67" s="29">
        <f>COUNTIFS($G:$G,B67)+COUNTIFS($G:$G,C67)+COUNTIFS($G:$G,D67)+COUNTIFS($G:$G,E67)</f>
        <v>1</v>
      </c>
      <c r="G67" s="30">
        <v>2</v>
      </c>
    </row>
    <row r="68" spans="1:7">
      <c r="A68" s="15" t="s">
        <v>92</v>
      </c>
      <c r="B68" s="16" t="s">
        <v>9</v>
      </c>
      <c r="C68" s="16" t="s">
        <v>1</v>
      </c>
      <c r="D68" s="16" t="s">
        <v>19</v>
      </c>
      <c r="E68" s="16" t="s">
        <v>3</v>
      </c>
      <c r="F68" s="29">
        <f>COUNTIFS($G:$G,B68)+COUNTIFS($G:$G,C68)+COUNTIFS($G:$G,D68)+COUNTIFS($G:$G,E68)</f>
        <v>3</v>
      </c>
      <c r="G68" s="30">
        <v>2</v>
      </c>
    </row>
    <row r="69" spans="1:7">
      <c r="A69" s="15" t="s">
        <v>93</v>
      </c>
      <c r="B69" s="16" t="s">
        <v>9</v>
      </c>
      <c r="C69" s="16" t="s">
        <v>5</v>
      </c>
      <c r="D69" s="16" t="s">
        <v>20</v>
      </c>
      <c r="E69" s="16" t="s">
        <v>3</v>
      </c>
      <c r="F69" s="29">
        <f>COUNTIFS($G:$G,B69)+COUNTIFS($G:$G,C69)+COUNTIFS($G:$G,D69)+COUNTIFS($G:$G,E69)</f>
        <v>2</v>
      </c>
      <c r="G69" s="30">
        <v>2</v>
      </c>
    </row>
    <row r="70" spans="1:7">
      <c r="A70" s="15" t="s">
        <v>94</v>
      </c>
      <c r="B70" s="16" t="s">
        <v>13</v>
      </c>
      <c r="C70" s="16" t="s">
        <v>1</v>
      </c>
      <c r="D70" s="16" t="s">
        <v>20</v>
      </c>
      <c r="E70" s="16" t="s">
        <v>3</v>
      </c>
      <c r="F70" s="29">
        <f>COUNTIFS($G:$G,B70)+COUNTIFS($G:$G,C70)+COUNTIFS($G:$G,D70)+COUNTIFS($G:$G,E70)</f>
        <v>3</v>
      </c>
      <c r="G70" s="30">
        <v>2</v>
      </c>
    </row>
    <row r="71" spans="1:7">
      <c r="A71" s="15" t="s">
        <v>95</v>
      </c>
      <c r="B71" s="16" t="s">
        <v>13</v>
      </c>
      <c r="C71" s="16" t="s">
        <v>1</v>
      </c>
      <c r="D71" s="16" t="s">
        <v>2</v>
      </c>
      <c r="E71" s="16" t="s">
        <v>3</v>
      </c>
      <c r="F71" s="29">
        <f>COUNTIFS($G:$G,B71)+COUNTIFS($G:$G,C71)+COUNTIFS($G:$G,D71)+COUNTIFS($G:$G,E71)</f>
        <v>3</v>
      </c>
      <c r="G71" s="30">
        <v>2</v>
      </c>
    </row>
    <row r="72" spans="1:7">
      <c r="A72" s="15" t="s">
        <v>96</v>
      </c>
      <c r="B72" s="16" t="s">
        <v>13</v>
      </c>
      <c r="C72" s="16" t="s">
        <v>1</v>
      </c>
      <c r="D72" s="16" t="s">
        <v>15</v>
      </c>
      <c r="E72" s="16" t="s">
        <v>3</v>
      </c>
      <c r="F72" s="29">
        <f>COUNTIFS($G:$G,B72)+COUNTIFS($G:$G,C72)+COUNTIFS($G:$G,D72)+COUNTIFS($G:$G,E72)</f>
        <v>3</v>
      </c>
      <c r="G72" s="30">
        <v>2</v>
      </c>
    </row>
    <row r="73" spans="1:7">
      <c r="A73" s="15" t="s">
        <v>97</v>
      </c>
      <c r="B73" s="16" t="s">
        <v>13</v>
      </c>
      <c r="C73" s="16" t="s">
        <v>1</v>
      </c>
      <c r="D73" s="16" t="s">
        <v>19</v>
      </c>
      <c r="E73" s="16" t="s">
        <v>3</v>
      </c>
      <c r="F73" s="29">
        <f>COUNTIFS($G:$G,B73)+COUNTIFS($G:$G,C73)+COUNTIFS($G:$G,D73)+COUNTIFS($G:$G,E73)</f>
        <v>3</v>
      </c>
      <c r="G73" s="30">
        <v>2</v>
      </c>
    </row>
    <row r="74" spans="1:7">
      <c r="A74" s="15" t="s">
        <v>98</v>
      </c>
      <c r="B74" s="16" t="s">
        <v>4</v>
      </c>
      <c r="C74" s="16" t="s">
        <v>1</v>
      </c>
      <c r="D74" s="16" t="s">
        <v>11</v>
      </c>
      <c r="E74" s="16" t="s">
        <v>3</v>
      </c>
      <c r="F74" s="29">
        <f>COUNTIFS($G:$G,B74)+COUNTIFS($G:$G,C74)+COUNTIFS($G:$G,D74)+COUNTIFS($G:$G,E74)</f>
        <v>2</v>
      </c>
      <c r="G74" s="30">
        <v>2</v>
      </c>
    </row>
    <row r="75" spans="1:7">
      <c r="A75" s="15" t="s">
        <v>99</v>
      </c>
      <c r="B75" s="16" t="s">
        <v>4</v>
      </c>
      <c r="C75" s="16" t="s">
        <v>1</v>
      </c>
      <c r="D75" s="16" t="s">
        <v>2</v>
      </c>
      <c r="E75" s="16" t="s">
        <v>3</v>
      </c>
      <c r="F75" s="29">
        <f>COUNTIFS($G:$G,B75)+COUNTIFS($G:$G,C75)+COUNTIFS($G:$G,D75)+COUNTIFS($G:$G,E75)</f>
        <v>2</v>
      </c>
      <c r="G75" s="30">
        <v>2</v>
      </c>
    </row>
    <row r="76" spans="1:7">
      <c r="A76" s="15" t="s">
        <v>100</v>
      </c>
      <c r="B76" s="16" t="s">
        <v>4</v>
      </c>
      <c r="C76" s="16" t="s">
        <v>1</v>
      </c>
      <c r="D76" s="16" t="s">
        <v>15</v>
      </c>
      <c r="E76" s="16" t="s">
        <v>3</v>
      </c>
      <c r="F76" s="29">
        <f>COUNTIFS($G:$G,B76)+COUNTIFS($G:$G,C76)+COUNTIFS($G:$G,D76)+COUNTIFS($G:$G,E76)</f>
        <v>2</v>
      </c>
      <c r="G76" s="30">
        <v>2</v>
      </c>
    </row>
    <row r="77" spans="1:7">
      <c r="A77" s="15" t="s">
        <v>101</v>
      </c>
      <c r="B77" s="16" t="s">
        <v>0</v>
      </c>
      <c r="C77" s="16" t="s">
        <v>1</v>
      </c>
      <c r="D77" s="16" t="s">
        <v>20</v>
      </c>
      <c r="E77" s="16" t="s">
        <v>3</v>
      </c>
      <c r="F77" s="29">
        <f>COUNTIFS($G:$G,B77)+COUNTIFS($G:$G,C77)+COUNTIFS($G:$G,D77)+COUNTIFS($G:$G,E77)</f>
        <v>2</v>
      </c>
      <c r="G77" s="30">
        <v>2</v>
      </c>
    </row>
    <row r="78" spans="1:7">
      <c r="A78" s="15" t="s">
        <v>102</v>
      </c>
      <c r="B78" s="16" t="s">
        <v>0</v>
      </c>
      <c r="C78" s="16" t="s">
        <v>1</v>
      </c>
      <c r="D78" s="16" t="s">
        <v>2</v>
      </c>
      <c r="E78" s="16" t="s">
        <v>3</v>
      </c>
      <c r="F78" s="29">
        <f>COUNTIFS($G:$G,B78)+COUNTIFS($G:$G,C78)+COUNTIFS($G:$G,D78)+COUNTIFS($G:$G,E78)</f>
        <v>2</v>
      </c>
      <c r="G78" s="30">
        <v>2</v>
      </c>
    </row>
    <row r="79" spans="1:7">
      <c r="A79" s="15" t="s">
        <v>103</v>
      </c>
      <c r="B79" s="16" t="s">
        <v>0</v>
      </c>
      <c r="C79" s="16" t="s">
        <v>1</v>
      </c>
      <c r="D79" s="16" t="s">
        <v>20</v>
      </c>
      <c r="E79" s="16" t="s">
        <v>3</v>
      </c>
      <c r="F79" s="29">
        <f>COUNTIFS($G:$G,B79)+COUNTIFS($G:$G,C79)+COUNTIFS($G:$G,D79)+COUNTIFS($G:$G,E79)</f>
        <v>2</v>
      </c>
      <c r="G79" s="30">
        <v>2</v>
      </c>
    </row>
    <row r="80" spans="1:7">
      <c r="A80" s="15" t="s">
        <v>104</v>
      </c>
      <c r="B80" s="16" t="s">
        <v>0</v>
      </c>
      <c r="C80" s="16" t="s">
        <v>1</v>
      </c>
      <c r="D80" s="16" t="s">
        <v>19</v>
      </c>
      <c r="E80" s="16" t="s">
        <v>3</v>
      </c>
      <c r="F80" s="29">
        <f>COUNTIFS($G:$G,B80)+COUNTIFS($G:$G,C80)+COUNTIFS($G:$G,D80)+COUNTIFS($G:$G,E80)</f>
        <v>2</v>
      </c>
      <c r="G80" s="30">
        <v>2</v>
      </c>
    </row>
    <row r="81" spans="1:7">
      <c r="A81" s="15" t="s">
        <v>105</v>
      </c>
      <c r="B81" s="16" t="s">
        <v>0</v>
      </c>
      <c r="C81" s="16" t="s">
        <v>1</v>
      </c>
      <c r="D81" s="16" t="s">
        <v>15</v>
      </c>
      <c r="E81" s="16" t="s">
        <v>3</v>
      </c>
      <c r="F81" s="29">
        <f>COUNTIFS($G:$G,B81)+COUNTIFS($G:$G,C81)+COUNTIFS($G:$G,D81)+COUNTIFS($G:$G,E81)</f>
        <v>2</v>
      </c>
      <c r="G81" s="30">
        <v>2</v>
      </c>
    </row>
    <row r="82" spans="1:7">
      <c r="A82" s="15" t="s">
        <v>106</v>
      </c>
      <c r="B82" s="16" t="s">
        <v>0</v>
      </c>
      <c r="C82" s="16" t="s">
        <v>5</v>
      </c>
      <c r="D82" s="16" t="s">
        <v>20</v>
      </c>
      <c r="E82" s="16" t="s">
        <v>3</v>
      </c>
      <c r="F82" s="29">
        <f>COUNTIFS($G:$G,B82)+COUNTIFS($G:$G,C82)+COUNTIFS($G:$G,D82)+COUNTIFS($G:$G,E82)</f>
        <v>1</v>
      </c>
      <c r="G82" s="30">
        <v>2</v>
      </c>
    </row>
    <row r="83" spans="1:7">
      <c r="A83" s="15" t="s">
        <v>107</v>
      </c>
      <c r="B83" s="16" t="s">
        <v>0</v>
      </c>
      <c r="C83" s="16" t="s">
        <v>1</v>
      </c>
      <c r="D83" s="16" t="s">
        <v>2</v>
      </c>
      <c r="E83" s="16" t="s">
        <v>3</v>
      </c>
      <c r="F83" s="29">
        <f>COUNTIFS($G:$G,B83)+COUNTIFS($G:$G,C83)+COUNTIFS($G:$G,D83)+COUNTIFS($G:$G,E83)</f>
        <v>2</v>
      </c>
      <c r="G83" s="30">
        <v>2</v>
      </c>
    </row>
    <row r="84" spans="1:7">
      <c r="A84" s="15" t="s">
        <v>108</v>
      </c>
      <c r="B84" s="16" t="s">
        <v>0</v>
      </c>
      <c r="C84" s="16" t="s">
        <v>1</v>
      </c>
      <c r="D84" s="16" t="s">
        <v>15</v>
      </c>
      <c r="E84" s="16" t="s">
        <v>3</v>
      </c>
      <c r="F84" s="29">
        <f>COUNTIFS($G:$G,B84)+COUNTIFS($G:$G,C84)+COUNTIFS($G:$G,D84)+COUNTIFS($G:$G,E84)</f>
        <v>2</v>
      </c>
      <c r="G84" s="30">
        <v>2</v>
      </c>
    </row>
    <row r="85" spans="1:7">
      <c r="A85" s="15" t="s">
        <v>109</v>
      </c>
      <c r="B85" s="16" t="s">
        <v>9</v>
      </c>
      <c r="C85" s="16" t="s">
        <v>1</v>
      </c>
      <c r="D85" s="16" t="s">
        <v>2</v>
      </c>
      <c r="E85" s="16" t="s">
        <v>12</v>
      </c>
      <c r="F85" s="29">
        <f>COUNTIFS($G:$G,B85)+COUNTIFS($G:$G,C85)+COUNTIFS($G:$G,D85)+COUNTIFS($G:$G,E85)</f>
        <v>2</v>
      </c>
      <c r="G85" s="30">
        <v>2</v>
      </c>
    </row>
    <row r="86" spans="1:7">
      <c r="A86" s="15" t="s">
        <v>110</v>
      </c>
      <c r="B86" s="16" t="s">
        <v>9</v>
      </c>
      <c r="C86" s="16" t="s">
        <v>1</v>
      </c>
      <c r="D86" s="16" t="s">
        <v>11</v>
      </c>
      <c r="E86" s="16" t="s">
        <v>12</v>
      </c>
      <c r="F86" s="29">
        <f>COUNTIFS($G:$G,B86)+COUNTIFS($G:$G,C86)+COUNTIFS($G:$G,D86)+COUNTIFS($G:$G,E86)</f>
        <v>2</v>
      </c>
      <c r="G86" s="30">
        <v>2</v>
      </c>
    </row>
    <row r="87" spans="1:7">
      <c r="A87" s="15" t="s">
        <v>111</v>
      </c>
      <c r="B87" s="16" t="s">
        <v>9</v>
      </c>
      <c r="C87" s="16" t="s">
        <v>1</v>
      </c>
      <c r="D87" s="16" t="s">
        <v>2</v>
      </c>
      <c r="E87" s="16" t="s">
        <v>12</v>
      </c>
      <c r="F87" s="29">
        <f>COUNTIFS($G:$G,B87)+COUNTIFS($G:$G,C87)+COUNTIFS($G:$G,D87)+COUNTIFS($G:$G,E87)</f>
        <v>2</v>
      </c>
      <c r="G87" s="30">
        <v>2</v>
      </c>
    </row>
    <row r="88" spans="1:7">
      <c r="A88" s="15" t="s">
        <v>112</v>
      </c>
      <c r="B88" s="16" t="s">
        <v>9</v>
      </c>
      <c r="C88" s="16" t="s">
        <v>1</v>
      </c>
      <c r="D88" s="16" t="s">
        <v>11</v>
      </c>
      <c r="E88" s="16" t="s">
        <v>12</v>
      </c>
      <c r="F88" s="29">
        <f>COUNTIFS($G:$G,B88)+COUNTIFS($G:$G,C88)+COUNTIFS($G:$G,D88)+COUNTIFS($G:$G,E88)</f>
        <v>2</v>
      </c>
      <c r="G88" s="30">
        <v>2</v>
      </c>
    </row>
    <row r="89" spans="1:7">
      <c r="A89" s="15" t="s">
        <v>113</v>
      </c>
      <c r="B89" s="16" t="s">
        <v>9</v>
      </c>
      <c r="C89" s="16" t="s">
        <v>1</v>
      </c>
      <c r="D89" s="16" t="s">
        <v>15</v>
      </c>
      <c r="E89" s="16" t="s">
        <v>12</v>
      </c>
      <c r="F89" s="29">
        <f>COUNTIFS($G:$G,B89)+COUNTIFS($G:$G,C89)+COUNTIFS($G:$G,D89)+COUNTIFS($G:$G,E89)</f>
        <v>2</v>
      </c>
      <c r="G89" s="30">
        <v>2</v>
      </c>
    </row>
    <row r="90" spans="1:7">
      <c r="A90" s="15" t="s">
        <v>114</v>
      </c>
      <c r="B90" s="16" t="s">
        <v>13</v>
      </c>
      <c r="C90" s="16" t="s">
        <v>1</v>
      </c>
      <c r="D90" s="16" t="s">
        <v>2</v>
      </c>
      <c r="E90" s="16" t="s">
        <v>12</v>
      </c>
      <c r="F90" s="29">
        <f>COUNTIFS($G:$G,B90)+COUNTIFS($G:$G,C90)+COUNTIFS($G:$G,D90)+COUNTIFS($G:$G,E90)</f>
        <v>2</v>
      </c>
      <c r="G90" s="30">
        <v>2</v>
      </c>
    </row>
    <row r="91" spans="1:7">
      <c r="A91" s="15" t="s">
        <v>115</v>
      </c>
      <c r="B91" s="16" t="s">
        <v>4</v>
      </c>
      <c r="C91" s="16" t="s">
        <v>1</v>
      </c>
      <c r="D91" s="16" t="s">
        <v>20</v>
      </c>
      <c r="E91" s="16" t="s">
        <v>12</v>
      </c>
      <c r="F91" s="29">
        <f>COUNTIFS($G:$G,B91)+COUNTIFS($G:$G,C91)+COUNTIFS($G:$G,D91)+COUNTIFS($G:$G,E91)</f>
        <v>1</v>
      </c>
      <c r="G91" s="30">
        <v>2</v>
      </c>
    </row>
    <row r="92" spans="1:7">
      <c r="A92" s="15" t="s">
        <v>116</v>
      </c>
      <c r="B92" s="16" t="s">
        <v>0</v>
      </c>
      <c r="C92" s="16" t="s">
        <v>5</v>
      </c>
      <c r="D92" s="16" t="s">
        <v>6</v>
      </c>
      <c r="E92" s="16" t="s">
        <v>12</v>
      </c>
      <c r="F92" s="29">
        <f>COUNTIFS($G:$G,B92)+COUNTIFS($G:$G,C92)+COUNTIFS($G:$G,D92)+COUNTIFS($G:$G,E92)</f>
        <v>1</v>
      </c>
      <c r="G92" s="30">
        <v>2</v>
      </c>
    </row>
    <row r="93" spans="1:7">
      <c r="A93" s="15" t="s">
        <v>117</v>
      </c>
      <c r="B93" s="16" t="s">
        <v>0</v>
      </c>
      <c r="C93" s="16" t="s">
        <v>10</v>
      </c>
      <c r="D93" s="16" t="s">
        <v>19</v>
      </c>
      <c r="E93" s="16" t="s">
        <v>12</v>
      </c>
      <c r="F93" s="29">
        <f>COUNTIFS($G:$G,B93)+COUNTIFS($G:$G,C93)+COUNTIFS($G:$G,D93)+COUNTIFS($G:$G,E93)</f>
        <v>0</v>
      </c>
      <c r="G93" s="30">
        <v>2</v>
      </c>
    </row>
    <row r="94" spans="1:7">
      <c r="A94" s="15" t="s">
        <v>118</v>
      </c>
      <c r="B94" s="16" t="s">
        <v>0</v>
      </c>
      <c r="C94" s="16" t="s">
        <v>10</v>
      </c>
      <c r="D94" s="16" t="s">
        <v>11</v>
      </c>
      <c r="E94" s="16" t="s">
        <v>12</v>
      </c>
      <c r="F94" s="29">
        <f>COUNTIFS($G:$G,B94)+COUNTIFS($G:$G,C94)+COUNTIFS($G:$G,D94)+COUNTIFS($G:$G,E94)</f>
        <v>0</v>
      </c>
      <c r="G94" s="30">
        <v>2</v>
      </c>
    </row>
    <row r="95" spans="1:7">
      <c r="A95" s="15" t="s">
        <v>119</v>
      </c>
      <c r="B95" s="16" t="s">
        <v>9</v>
      </c>
      <c r="C95" s="16" t="s">
        <v>1</v>
      </c>
      <c r="D95" s="16" t="s">
        <v>6</v>
      </c>
      <c r="E95" s="16" t="s">
        <v>21</v>
      </c>
      <c r="F95" s="29">
        <f>COUNTIFS($G:$G,B95)+COUNTIFS($G:$G,C95)+COUNTIFS($G:$G,D95)+COUNTIFS($G:$G,E95)</f>
        <v>3</v>
      </c>
      <c r="G95" s="30">
        <v>2</v>
      </c>
    </row>
    <row r="96" spans="1:7">
      <c r="A96" s="15" t="s">
        <v>120</v>
      </c>
      <c r="B96" s="16" t="s">
        <v>4</v>
      </c>
      <c r="C96" s="16" t="s">
        <v>1</v>
      </c>
      <c r="D96" s="16" t="s">
        <v>20</v>
      </c>
      <c r="E96" s="16" t="s">
        <v>21</v>
      </c>
      <c r="F96" s="29">
        <f>COUNTIFS($G:$G,B96)+COUNTIFS($G:$G,C96)+COUNTIFS($G:$G,D96)+COUNTIFS($G:$G,E96)</f>
        <v>1</v>
      </c>
      <c r="G96" s="30">
        <v>2</v>
      </c>
    </row>
    <row r="97" spans="1:7">
      <c r="A97" s="15" t="s">
        <v>121</v>
      </c>
      <c r="B97" s="16" t="s">
        <v>0</v>
      </c>
      <c r="C97" s="16" t="s">
        <v>1</v>
      </c>
      <c r="D97" s="16" t="s">
        <v>6</v>
      </c>
      <c r="E97" s="16" t="s">
        <v>21</v>
      </c>
      <c r="F97" s="29">
        <f>COUNTIFS($G:$G,B97)+COUNTIFS($G:$G,C97)+COUNTIFS($G:$G,D97)+COUNTIFS($G:$G,E97)</f>
        <v>2</v>
      </c>
      <c r="G97" s="30">
        <v>2</v>
      </c>
    </row>
    <row r="98" spans="1:7">
      <c r="A98" s="15" t="s">
        <v>122</v>
      </c>
      <c r="B98" s="16" t="s">
        <v>0</v>
      </c>
      <c r="C98" s="16" t="s">
        <v>1</v>
      </c>
      <c r="D98" s="16" t="s">
        <v>20</v>
      </c>
      <c r="E98" s="16" t="s">
        <v>21</v>
      </c>
      <c r="F98" s="29">
        <f>COUNTIFS($G:$G,B98)+COUNTIFS($G:$G,C98)+COUNTIFS($G:$G,D98)+COUNTIFS($G:$G,E98)</f>
        <v>1</v>
      </c>
      <c r="G98" s="30">
        <v>2</v>
      </c>
    </row>
    <row r="99" spans="1:7">
      <c r="A99" s="15" t="s">
        <v>123</v>
      </c>
      <c r="B99" s="16" t="s">
        <v>9</v>
      </c>
      <c r="C99" s="16" t="s">
        <v>1</v>
      </c>
      <c r="D99" s="16" t="s">
        <v>2</v>
      </c>
      <c r="E99" s="16" t="s">
        <v>16</v>
      </c>
      <c r="F99" s="29">
        <f>COUNTIFS($G:$G,B99)+COUNTIFS($G:$G,C99)+COUNTIFS($G:$G,D99)+COUNTIFS($G:$G,E99)</f>
        <v>2</v>
      </c>
      <c r="G99" s="30">
        <v>2</v>
      </c>
    </row>
    <row r="100" spans="1:7">
      <c r="A100" s="15" t="s">
        <v>124</v>
      </c>
      <c r="B100" s="16" t="s">
        <v>9</v>
      </c>
      <c r="C100" s="16" t="s">
        <v>10</v>
      </c>
      <c r="D100" s="16" t="s">
        <v>20</v>
      </c>
      <c r="E100" s="16" t="s">
        <v>16</v>
      </c>
      <c r="F100" s="29">
        <f>COUNTIFS($G:$G,B100)+COUNTIFS($G:$G,C100)+COUNTIFS($G:$G,D100)+COUNTIFS($G:$G,E100)</f>
        <v>1</v>
      </c>
      <c r="G100" s="30">
        <v>2</v>
      </c>
    </row>
    <row r="101" spans="1:7">
      <c r="A101" s="15" t="s">
        <v>125</v>
      </c>
      <c r="B101" s="16" t="s">
        <v>13</v>
      </c>
      <c r="C101" s="16" t="s">
        <v>1</v>
      </c>
      <c r="D101" s="16" t="s">
        <v>2</v>
      </c>
      <c r="E101" s="16" t="s">
        <v>16</v>
      </c>
      <c r="F101" s="29">
        <f>COUNTIFS($G:$G,B101)+COUNTIFS($G:$G,C101)+COUNTIFS($G:$G,D101)+COUNTIFS($G:$G,E101)</f>
        <v>2</v>
      </c>
      <c r="G101" s="30">
        <v>2</v>
      </c>
    </row>
    <row r="102" spans="1:7">
      <c r="A102" s="15" t="s">
        <v>126</v>
      </c>
      <c r="B102" s="16" t="s">
        <v>13</v>
      </c>
      <c r="C102" s="16" t="s">
        <v>1</v>
      </c>
      <c r="D102" s="16" t="s">
        <v>20</v>
      </c>
      <c r="E102" s="16" t="s">
        <v>16</v>
      </c>
      <c r="F102" s="29">
        <f>COUNTIFS($G:$G,B102)+COUNTIFS($G:$G,C102)+COUNTIFS($G:$G,D102)+COUNTIFS($G:$G,E102)</f>
        <v>2</v>
      </c>
      <c r="G102" s="30">
        <v>2</v>
      </c>
    </row>
    <row r="103" spans="1:7">
      <c r="A103" s="15" t="s">
        <v>127</v>
      </c>
      <c r="B103" s="16" t="s">
        <v>4</v>
      </c>
      <c r="C103" s="16" t="s">
        <v>1</v>
      </c>
      <c r="D103" s="16" t="s">
        <v>15</v>
      </c>
      <c r="E103" s="16" t="s">
        <v>16</v>
      </c>
      <c r="F103" s="29">
        <f>COUNTIFS($G:$G,B103)+COUNTIFS($G:$G,C103)+COUNTIFS($G:$G,D103)+COUNTIFS($G:$G,E103)</f>
        <v>1</v>
      </c>
      <c r="G103" s="30">
        <v>2</v>
      </c>
    </row>
    <row r="104" spans="1:7">
      <c r="A104" s="15" t="s">
        <v>128</v>
      </c>
      <c r="B104" s="16" t="s">
        <v>4</v>
      </c>
      <c r="C104" s="16" t="s">
        <v>5</v>
      </c>
      <c r="D104" s="16" t="s">
        <v>19</v>
      </c>
      <c r="E104" s="16" t="s">
        <v>16</v>
      </c>
      <c r="F104" s="29">
        <f>COUNTIFS($G:$G,B104)+COUNTIFS($G:$G,C104)+COUNTIFS($G:$G,D104)+COUNTIFS($G:$G,E104)</f>
        <v>0</v>
      </c>
      <c r="G104" s="30">
        <v>2</v>
      </c>
    </row>
    <row r="105" spans="1:7">
      <c r="A105" s="15" t="s">
        <v>129</v>
      </c>
      <c r="B105" s="16" t="s">
        <v>0</v>
      </c>
      <c r="C105" s="16" t="s">
        <v>5</v>
      </c>
      <c r="D105" s="16" t="s">
        <v>15</v>
      </c>
      <c r="E105" s="16" t="s">
        <v>16</v>
      </c>
      <c r="F105" s="29">
        <f>COUNTIFS($G:$G,B105)+COUNTIFS($G:$G,C105)+COUNTIFS($G:$G,D105)+COUNTIFS($G:$G,E105)</f>
        <v>0</v>
      </c>
      <c r="G105" s="30">
        <v>2</v>
      </c>
    </row>
    <row r="106" spans="1:7">
      <c r="A106" s="15" t="s">
        <v>130</v>
      </c>
      <c r="B106" s="16" t="s">
        <v>0</v>
      </c>
      <c r="C106" s="16" t="s">
        <v>5</v>
      </c>
      <c r="D106" s="16" t="s">
        <v>2</v>
      </c>
      <c r="E106" s="16" t="s">
        <v>16</v>
      </c>
      <c r="F106" s="29">
        <f>COUNTIFS($G:$G,B106)+COUNTIFS($G:$G,C106)+COUNTIFS($G:$G,D106)+COUNTIFS($G:$G,E106)</f>
        <v>0</v>
      </c>
      <c r="G106" s="30">
        <v>2</v>
      </c>
    </row>
    <row r="107" spans="1:7">
      <c r="A107" s="15" t="s">
        <v>131</v>
      </c>
      <c r="B107" s="16" t="s">
        <v>0</v>
      </c>
      <c r="C107" s="16" t="s">
        <v>5</v>
      </c>
      <c r="D107" s="16" t="s">
        <v>2</v>
      </c>
      <c r="E107" s="16" t="s">
        <v>16</v>
      </c>
      <c r="F107" s="29">
        <f>COUNTIFS($G:$G,B107)+COUNTIFS($G:$G,C107)+COUNTIFS($G:$G,D107)+COUNTIFS($G:$G,E107)</f>
        <v>0</v>
      </c>
      <c r="G107" s="30">
        <v>2</v>
      </c>
    </row>
    <row r="108" spans="1:7">
      <c r="A108" s="15" t="s">
        <v>132</v>
      </c>
      <c r="B108" s="16" t="s">
        <v>0</v>
      </c>
      <c r="C108" s="16" t="s">
        <v>18</v>
      </c>
      <c r="D108" s="16" t="s">
        <v>11</v>
      </c>
      <c r="E108" s="16" t="s">
        <v>22</v>
      </c>
      <c r="F108" s="29">
        <f>COUNTIFS($G:$G,B108)+COUNTIFS($G:$G,C108)+COUNTIFS($G:$G,D108)+COUNTIFS($G:$G,E108)</f>
        <v>0</v>
      </c>
      <c r="G108" s="30">
        <v>2</v>
      </c>
    </row>
    <row r="109" spans="1:7">
      <c r="A109" s="32" t="s">
        <v>133</v>
      </c>
      <c r="B109" s="29" t="s">
        <v>0</v>
      </c>
      <c r="C109" s="29" t="s">
        <v>1</v>
      </c>
      <c r="D109" s="29" t="s">
        <v>15</v>
      </c>
      <c r="E109" s="29" t="s">
        <v>23</v>
      </c>
      <c r="F109" s="29">
        <f>COUNTIFS($G:$G,B109)+COUNTIFS($G:$G,C109)+COUNTIFS($G:$G,D109)+COUNTIFS($G:$G,E109)</f>
        <v>2</v>
      </c>
      <c r="G109" s="41">
        <v>2</v>
      </c>
    </row>
    <row r="110" spans="1:7">
      <c r="A110" s="32" t="s">
        <v>134</v>
      </c>
      <c r="B110" s="29" t="s">
        <v>4</v>
      </c>
      <c r="C110" s="29" t="s">
        <v>1</v>
      </c>
      <c r="D110" s="29" t="s">
        <v>2</v>
      </c>
      <c r="E110" s="29" t="s">
        <v>23</v>
      </c>
      <c r="F110" s="29">
        <f>COUNTIFS($G:$G,B110)+COUNTIFS($G:$G,C110)+COUNTIFS($G:$G,D110)+COUNTIFS($G:$G,E110)</f>
        <v>2</v>
      </c>
      <c r="G110" s="41">
        <v>2</v>
      </c>
    </row>
    <row r="111" spans="1:7">
      <c r="A111" s="32" t="s">
        <v>135</v>
      </c>
      <c r="B111" s="29" t="s">
        <v>9</v>
      </c>
      <c r="C111" s="29" t="s">
        <v>1</v>
      </c>
      <c r="D111" s="29" t="s">
        <v>19</v>
      </c>
      <c r="E111" s="29" t="s">
        <v>23</v>
      </c>
      <c r="F111" s="29">
        <f>COUNTIFS($G:$G,B111)+COUNTIFS($G:$G,C111)+COUNTIFS($G:$G,D111)+COUNTIFS($G:$G,E111)</f>
        <v>3</v>
      </c>
      <c r="G111" s="41">
        <v>2</v>
      </c>
    </row>
    <row r="112" spans="1:7">
      <c r="A112" s="32" t="s">
        <v>136</v>
      </c>
      <c r="B112" s="29" t="s">
        <v>13</v>
      </c>
      <c r="C112" s="29" t="s">
        <v>1</v>
      </c>
      <c r="D112" s="29" t="s">
        <v>11</v>
      </c>
      <c r="E112" s="29" t="s">
        <v>23</v>
      </c>
      <c r="F112" s="29">
        <f>COUNTIFS($G:$G,B112)+COUNTIFS($G:$G,C112)+COUNTIFS($G:$G,D112)+COUNTIFS($G:$G,E112)</f>
        <v>3</v>
      </c>
      <c r="G112" s="41">
        <v>2</v>
      </c>
    </row>
    <row r="113" spans="1:7">
      <c r="A113" s="33" t="s">
        <v>137</v>
      </c>
      <c r="B113" s="34" t="s">
        <v>13</v>
      </c>
      <c r="C113" s="34" t="s">
        <v>5</v>
      </c>
      <c r="D113" s="34" t="s">
        <v>6</v>
      </c>
      <c r="E113" s="34" t="s">
        <v>17</v>
      </c>
      <c r="F113" s="40">
        <f>COUNTIFS($G:$G,B113)+COUNTIFS($G:$G,C113)+COUNTIFS($G:$G,D113)+COUNTIFS($G:$G,E113)</f>
        <v>3</v>
      </c>
      <c r="G113" s="42">
        <v>3</v>
      </c>
    </row>
    <row r="114" spans="1:7">
      <c r="A114" s="33" t="s">
        <v>138</v>
      </c>
      <c r="B114" s="34" t="s">
        <v>0</v>
      </c>
      <c r="C114" s="34" t="s">
        <v>14</v>
      </c>
      <c r="D114" s="34" t="s">
        <v>11</v>
      </c>
      <c r="E114" s="34" t="s">
        <v>17</v>
      </c>
      <c r="F114" s="40">
        <f>COUNTIFS($G:$G,B114)+COUNTIFS($G:$G,C114)+COUNTIFS($G:$G,D114)+COUNTIFS($G:$G,E114)</f>
        <v>1</v>
      </c>
      <c r="G114" s="42">
        <v>3</v>
      </c>
    </row>
    <row r="115" spans="1:7">
      <c r="A115" s="33" t="s">
        <v>139</v>
      </c>
      <c r="B115" s="34" t="s">
        <v>9</v>
      </c>
      <c r="C115" s="34" t="s">
        <v>1</v>
      </c>
      <c r="D115" s="34" t="s">
        <v>2</v>
      </c>
      <c r="E115" s="34" t="s">
        <v>3</v>
      </c>
      <c r="F115" s="40">
        <f>COUNTIFS($G:$G,B115)+COUNTIFS($G:$G,C115)+COUNTIFS($G:$G,D115)+COUNTIFS($G:$G,E115)</f>
        <v>3</v>
      </c>
      <c r="G115" s="42">
        <v>3</v>
      </c>
    </row>
    <row r="116" spans="1:7">
      <c r="A116" s="33" t="s">
        <v>140</v>
      </c>
      <c r="B116" s="34" t="s">
        <v>9</v>
      </c>
      <c r="C116" s="34" t="s">
        <v>1</v>
      </c>
      <c r="D116" s="34" t="s">
        <v>11</v>
      </c>
      <c r="E116" s="34" t="s">
        <v>3</v>
      </c>
      <c r="F116" s="40">
        <f>COUNTIFS($G:$G,B116)+COUNTIFS($G:$G,C116)+COUNTIFS($G:$G,D116)+COUNTIFS($G:$G,E116)</f>
        <v>3</v>
      </c>
      <c r="G116" s="42">
        <v>3</v>
      </c>
    </row>
    <row r="117" spans="1:7">
      <c r="A117" s="33" t="s">
        <v>141</v>
      </c>
      <c r="B117" s="34" t="s">
        <v>4</v>
      </c>
      <c r="C117" s="34" t="s">
        <v>1</v>
      </c>
      <c r="D117" s="34" t="s">
        <v>20</v>
      </c>
      <c r="E117" s="34" t="s">
        <v>3</v>
      </c>
      <c r="F117" s="40">
        <f>COUNTIFS($G:$G,B117)+COUNTIFS($G:$G,C117)+COUNTIFS($G:$G,D117)+COUNTIFS($G:$G,E117)</f>
        <v>2</v>
      </c>
      <c r="G117" s="42">
        <v>3</v>
      </c>
    </row>
    <row r="118" spans="1:7">
      <c r="A118" s="33" t="s">
        <v>142</v>
      </c>
      <c r="B118" s="34" t="s">
        <v>4</v>
      </c>
      <c r="C118" s="34" t="s">
        <v>1</v>
      </c>
      <c r="D118" s="34" t="s">
        <v>20</v>
      </c>
      <c r="E118" s="34" t="s">
        <v>3</v>
      </c>
      <c r="F118" s="40">
        <f>COUNTIFS($G:$G,B118)+COUNTIFS($G:$G,C118)+COUNTIFS($G:$G,D118)+COUNTIFS($G:$G,E118)</f>
        <v>2</v>
      </c>
      <c r="G118" s="42">
        <v>3</v>
      </c>
    </row>
    <row r="119" spans="1:7">
      <c r="A119" s="33" t="s">
        <v>143</v>
      </c>
      <c r="B119" s="34" t="s">
        <v>0</v>
      </c>
      <c r="C119" s="34" t="s">
        <v>1</v>
      </c>
      <c r="D119" s="34" t="s">
        <v>2</v>
      </c>
      <c r="E119" s="34" t="s">
        <v>3</v>
      </c>
      <c r="F119" s="40">
        <f>COUNTIFS($G:$G,B119)+COUNTIFS($G:$G,C119)+COUNTIFS($G:$G,D119)+COUNTIFS($G:$G,E119)</f>
        <v>2</v>
      </c>
      <c r="G119" s="42">
        <v>3</v>
      </c>
    </row>
    <row r="120" spans="1:7">
      <c r="A120" s="33" t="s">
        <v>144</v>
      </c>
      <c r="B120" s="34" t="s">
        <v>0</v>
      </c>
      <c r="C120" s="34" t="s">
        <v>1</v>
      </c>
      <c r="D120" s="34" t="s">
        <v>15</v>
      </c>
      <c r="E120" s="34" t="s">
        <v>3</v>
      </c>
      <c r="F120" s="40">
        <f>COUNTIFS($G:$G,B120)+COUNTIFS($G:$G,C120)+COUNTIFS($G:$G,D120)+COUNTIFS($G:$G,E120)</f>
        <v>2</v>
      </c>
      <c r="G120" s="42">
        <v>3</v>
      </c>
    </row>
    <row r="121" spans="1:7">
      <c r="A121" s="33" t="s">
        <v>145</v>
      </c>
      <c r="B121" s="34" t="s">
        <v>9</v>
      </c>
      <c r="C121" s="34" t="s">
        <v>1</v>
      </c>
      <c r="D121" s="34" t="s">
        <v>11</v>
      </c>
      <c r="E121" s="34" t="s">
        <v>12</v>
      </c>
      <c r="F121" s="40">
        <f>COUNTIFS($G:$G,B121)+COUNTIFS($G:$G,C121)+COUNTIFS($G:$G,D121)+COUNTIFS($G:$G,E121)</f>
        <v>2</v>
      </c>
      <c r="G121" s="42">
        <v>3</v>
      </c>
    </row>
    <row r="122" spans="1:7">
      <c r="A122" s="33" t="s">
        <v>146</v>
      </c>
      <c r="B122" s="34" t="s">
        <v>9</v>
      </c>
      <c r="C122" s="34" t="s">
        <v>5</v>
      </c>
      <c r="D122" s="34" t="s">
        <v>19</v>
      </c>
      <c r="E122" s="34" t="s">
        <v>12</v>
      </c>
      <c r="F122" s="40">
        <f>COUNTIFS($G:$G,B122)+COUNTIFS($G:$G,C122)+COUNTIFS($G:$G,D122)+COUNTIFS($G:$G,E122)</f>
        <v>1</v>
      </c>
      <c r="G122" s="42">
        <v>3</v>
      </c>
    </row>
    <row r="123" spans="1:7">
      <c r="A123" s="33" t="s">
        <v>147</v>
      </c>
      <c r="B123" s="34" t="s">
        <v>13</v>
      </c>
      <c r="C123" s="34" t="s">
        <v>18</v>
      </c>
      <c r="D123" s="34" t="s">
        <v>19</v>
      </c>
      <c r="E123" s="34" t="s">
        <v>12</v>
      </c>
      <c r="F123" s="40">
        <f>COUNTIFS($G:$G,B123)+COUNTIFS($G:$G,C123)+COUNTIFS($G:$G,D123)+COUNTIFS($G:$G,E123)</f>
        <v>1</v>
      </c>
      <c r="G123" s="42">
        <v>3</v>
      </c>
    </row>
    <row r="124" spans="1:7">
      <c r="A124" s="33" t="s">
        <v>148</v>
      </c>
      <c r="B124" s="34" t="s">
        <v>0</v>
      </c>
      <c r="C124" s="34" t="s">
        <v>10</v>
      </c>
      <c r="D124" s="34" t="s">
        <v>19</v>
      </c>
      <c r="E124" s="34" t="s">
        <v>12</v>
      </c>
      <c r="F124" s="40">
        <f>COUNTIFS($G:$G,B124)+COUNTIFS($G:$G,C124)+COUNTIFS($G:$G,D124)+COUNTIFS($G:$G,E124)</f>
        <v>0</v>
      </c>
      <c r="G124" s="42">
        <v>3</v>
      </c>
    </row>
    <row r="125" spans="1:7">
      <c r="A125" s="35" t="s">
        <v>149</v>
      </c>
      <c r="B125" s="34" t="s">
        <v>0</v>
      </c>
      <c r="C125" s="36" t="s">
        <v>18</v>
      </c>
      <c r="D125" s="34" t="s">
        <v>11</v>
      </c>
      <c r="E125" s="34" t="s">
        <v>12</v>
      </c>
      <c r="F125" s="40">
        <f>COUNTIFS($G:$G,B125)+COUNTIFS($G:$G,C125)+COUNTIFS($G:$G,D125)+COUNTIFS($G:$G,E125)</f>
        <v>0</v>
      </c>
      <c r="G125" s="42">
        <v>3</v>
      </c>
    </row>
    <row r="126" spans="1:7">
      <c r="A126" s="33" t="s">
        <v>150</v>
      </c>
      <c r="B126" s="34" t="s">
        <v>0</v>
      </c>
      <c r="C126" s="34" t="s">
        <v>1</v>
      </c>
      <c r="D126" s="34" t="s">
        <v>11</v>
      </c>
      <c r="E126" s="34" t="s">
        <v>12</v>
      </c>
      <c r="F126" s="40">
        <f>COUNTIFS($G:$G,B126)+COUNTIFS($G:$G,C126)+COUNTIFS($G:$G,D126)+COUNTIFS($G:$G,E126)</f>
        <v>1</v>
      </c>
      <c r="G126" s="42">
        <v>3</v>
      </c>
    </row>
    <row r="127" spans="1:7">
      <c r="A127" s="37" t="s">
        <v>151</v>
      </c>
      <c r="B127" s="38" t="s">
        <v>4</v>
      </c>
      <c r="C127" s="38" t="s">
        <v>1</v>
      </c>
      <c r="D127" s="38" t="s">
        <v>15</v>
      </c>
      <c r="E127" s="38" t="s">
        <v>23</v>
      </c>
      <c r="F127" s="40">
        <f>COUNTIFS($G:$G,B127)+COUNTIFS($G:$G,C127)+COUNTIFS($G:$G,D127)+COUNTIFS($G:$G,E127)</f>
        <v>2</v>
      </c>
      <c r="G127" s="43">
        <v>3</v>
      </c>
    </row>
    <row r="128" spans="1:7">
      <c r="A128" s="39" t="s">
        <v>152</v>
      </c>
      <c r="B128" s="40" t="s">
        <v>0</v>
      </c>
      <c r="C128" s="40" t="s">
        <v>10</v>
      </c>
      <c r="D128" s="40" t="s">
        <v>2</v>
      </c>
      <c r="E128" s="40" t="s">
        <v>23</v>
      </c>
      <c r="F128" s="40">
        <f>COUNTIFS($G:$G,B128)+COUNTIFS($G:$G,C128)+COUNTIFS($G:$G,D128)+COUNTIFS($G:$G,E128)</f>
        <v>1</v>
      </c>
      <c r="G128" s="44">
        <v>3</v>
      </c>
    </row>
    <row r="129" spans="1:7">
      <c r="A129" s="33" t="s">
        <v>153</v>
      </c>
      <c r="B129" s="34" t="s">
        <v>13</v>
      </c>
      <c r="C129" s="34" t="s">
        <v>1</v>
      </c>
      <c r="D129" s="34" t="s">
        <v>19</v>
      </c>
      <c r="E129" s="34" t="s">
        <v>21</v>
      </c>
      <c r="F129" s="40">
        <f>COUNTIFS($G:$G,B129)+COUNTIFS($G:$G,C129)+COUNTIFS($G:$G,D129)+COUNTIFS($G:$G,E129)</f>
        <v>2</v>
      </c>
      <c r="G129" s="42">
        <v>3</v>
      </c>
    </row>
    <row r="130" spans="1:7">
      <c r="A130" s="33" t="s">
        <v>154</v>
      </c>
      <c r="B130" s="34" t="s">
        <v>0</v>
      </c>
      <c r="C130" s="34" t="s">
        <v>1</v>
      </c>
      <c r="D130" s="34" t="s">
        <v>20</v>
      </c>
      <c r="E130" s="34" t="s">
        <v>21</v>
      </c>
      <c r="F130" s="40">
        <f>COUNTIFS($G:$G,B130)+COUNTIFS($G:$G,C130)+COUNTIFS($G:$G,D130)+COUNTIFS($G:$G,E130)</f>
        <v>1</v>
      </c>
      <c r="G130" s="42">
        <v>3</v>
      </c>
    </row>
    <row r="131" spans="1:7">
      <c r="A131" s="33" t="s">
        <v>155</v>
      </c>
      <c r="B131" s="34" t="s">
        <v>9</v>
      </c>
      <c r="C131" s="34" t="s">
        <v>1</v>
      </c>
      <c r="D131" s="34" t="s">
        <v>2</v>
      </c>
      <c r="E131" s="34" t="s">
        <v>16</v>
      </c>
      <c r="F131" s="40">
        <f>COUNTIFS($G:$G,B131)+COUNTIFS($G:$G,C131)+COUNTIFS($G:$G,D131)+COUNTIFS($G:$G,E131)</f>
        <v>2</v>
      </c>
      <c r="G131" s="42">
        <v>3</v>
      </c>
    </row>
    <row r="132" spans="1:7">
      <c r="A132" s="33" t="s">
        <v>156</v>
      </c>
      <c r="B132" s="34" t="s">
        <v>9</v>
      </c>
      <c r="C132" s="34" t="s">
        <v>1</v>
      </c>
      <c r="D132" s="34" t="s">
        <v>19</v>
      </c>
      <c r="E132" s="34" t="s">
        <v>16</v>
      </c>
      <c r="F132" s="40">
        <f>COUNTIFS($G:$G,B132)+COUNTIFS($G:$G,C132)+COUNTIFS($G:$G,D132)+COUNTIFS($G:$G,E132)</f>
        <v>2</v>
      </c>
      <c r="G132" s="42">
        <v>3</v>
      </c>
    </row>
    <row r="133" spans="1:7">
      <c r="A133" s="33" t="s">
        <v>157</v>
      </c>
      <c r="B133" s="34" t="s">
        <v>0</v>
      </c>
      <c r="C133" s="34" t="s">
        <v>10</v>
      </c>
      <c r="D133" s="34" t="s">
        <v>2</v>
      </c>
      <c r="E133" s="34" t="s">
        <v>16</v>
      </c>
      <c r="F133" s="40">
        <f>COUNTIFS($G:$G,B133)+COUNTIFS($G:$G,C133)+COUNTIFS($G:$G,D133)+COUNTIFS($G:$G,E133)</f>
        <v>0</v>
      </c>
      <c r="G133" s="42">
        <v>3</v>
      </c>
    </row>
    <row r="134" spans="1:7">
      <c r="A134" s="33" t="s">
        <v>158</v>
      </c>
      <c r="B134" s="34" t="s">
        <v>0</v>
      </c>
      <c r="C134" s="34" t="s">
        <v>5</v>
      </c>
      <c r="D134" s="34" t="s">
        <v>19</v>
      </c>
      <c r="E134" s="34" t="s">
        <v>16</v>
      </c>
      <c r="F134" s="40">
        <f>COUNTIFS($G:$G,B134)+COUNTIFS($G:$G,C134)+COUNTIFS($G:$G,D134)+COUNTIFS($G:$G,E134)</f>
        <v>0</v>
      </c>
      <c r="G134" s="42">
        <v>3</v>
      </c>
    </row>
    <row r="135" spans="1:7">
      <c r="A135" s="33" t="s">
        <v>159</v>
      </c>
      <c r="B135" s="34" t="s">
        <v>9</v>
      </c>
      <c r="C135" s="34" t="s">
        <v>18</v>
      </c>
      <c r="D135" s="34" t="s">
        <v>11</v>
      </c>
      <c r="E135" s="34" t="s">
        <v>22</v>
      </c>
      <c r="F135" s="40">
        <f>COUNTIFS($G:$G,B135)+COUNTIFS($G:$G,C135)+COUNTIFS($G:$G,D135)+COUNTIFS($G:$G,E135)</f>
        <v>1</v>
      </c>
      <c r="G135" s="42">
        <v>3</v>
      </c>
    </row>
    <row r="136" spans="1:7">
      <c r="A136" s="33" t="s">
        <v>160</v>
      </c>
      <c r="B136" s="34" t="s">
        <v>4</v>
      </c>
      <c r="C136" s="34" t="s">
        <v>18</v>
      </c>
      <c r="D136" s="34" t="s">
        <v>19</v>
      </c>
      <c r="E136" s="34" t="s">
        <v>22</v>
      </c>
      <c r="F136" s="40">
        <f>COUNTIFS($G:$G,B136)+COUNTIFS($G:$G,C136)+COUNTIFS($G:$G,D136)+COUNTIFS($G:$G,E136)</f>
        <v>0</v>
      </c>
      <c r="G136" s="42">
        <v>3</v>
      </c>
    </row>
    <row r="137" spans="1:7">
      <c r="A137" s="33" t="s">
        <v>161</v>
      </c>
      <c r="B137" s="34" t="s">
        <v>0</v>
      </c>
      <c r="C137" s="34" t="s">
        <v>5</v>
      </c>
      <c r="D137" s="34" t="s">
        <v>6</v>
      </c>
      <c r="E137" s="34" t="s">
        <v>7</v>
      </c>
      <c r="F137" s="40">
        <f>COUNTIFS($G:$G,B137)+COUNTIFS($G:$G,C137)+COUNTIFS($G:$G,D137)+COUNTIFS($G:$G,E137)</f>
        <v>1</v>
      </c>
      <c r="G137" s="42">
        <v>3</v>
      </c>
    </row>
    <row r="138" spans="1:7">
      <c r="A138" s="39" t="s">
        <v>162</v>
      </c>
      <c r="B138" s="40" t="s">
        <v>4</v>
      </c>
      <c r="C138" s="40" t="s">
        <v>1</v>
      </c>
      <c r="D138" s="40" t="s">
        <v>6</v>
      </c>
      <c r="E138" s="40" t="s">
        <v>7</v>
      </c>
      <c r="F138" s="40">
        <f>COUNTIFS($G:$G,B138)+COUNTIFS($G:$G,C138)+COUNTIFS($G:$G,D138)+COUNTIFS($G:$G,E138)</f>
        <v>2</v>
      </c>
      <c r="G138" s="44">
        <v>3</v>
      </c>
    </row>
    <row r="139" spans="1:7">
      <c r="A139" s="45"/>
      <c r="B139" s="46"/>
      <c r="C139" s="46"/>
      <c r="D139" s="46"/>
      <c r="E139" s="46"/>
      <c r="F139" s="46">
        <f t="shared" ref="F139:F154" si="43">COUNTIFS($G:$G,B139)+COUNTIFS($G:$G,C139)+COUNTIFS($G:$G,D139)+COUNTIFS($G:$G,E139)</f>
        <v>0</v>
      </c>
      <c r="G139" s="49"/>
    </row>
    <row r="140" spans="1:7">
      <c r="A140" s="45"/>
      <c r="B140" s="46"/>
      <c r="C140" s="46"/>
      <c r="D140" s="46"/>
      <c r="E140" s="46"/>
      <c r="F140" s="46">
        <f t="shared" si="43"/>
        <v>0</v>
      </c>
      <c r="G140" s="49"/>
    </row>
    <row r="141" spans="1:7">
      <c r="A141" s="45"/>
      <c r="B141" s="46"/>
      <c r="C141" s="46"/>
      <c r="D141" s="46"/>
      <c r="E141" s="46"/>
      <c r="F141" s="46">
        <f t="shared" si="43"/>
        <v>0</v>
      </c>
      <c r="G141" s="49"/>
    </row>
    <row r="142" spans="1:7">
      <c r="A142" s="45"/>
      <c r="B142" s="46"/>
      <c r="C142" s="46"/>
      <c r="D142" s="46"/>
      <c r="E142" s="46"/>
      <c r="F142" s="46">
        <f t="shared" si="43"/>
        <v>0</v>
      </c>
      <c r="G142" s="49"/>
    </row>
    <row r="143" spans="1:7">
      <c r="A143" s="45"/>
      <c r="B143" s="46"/>
      <c r="C143" s="46"/>
      <c r="D143" s="46"/>
      <c r="E143" s="46"/>
      <c r="F143" s="46">
        <f t="shared" si="43"/>
        <v>0</v>
      </c>
      <c r="G143" s="49"/>
    </row>
    <row r="144" spans="1:7">
      <c r="A144" s="45"/>
      <c r="B144" s="46"/>
      <c r="C144" s="46"/>
      <c r="D144" s="46"/>
      <c r="E144" s="46"/>
      <c r="F144" s="46">
        <f t="shared" si="43"/>
        <v>0</v>
      </c>
      <c r="G144" s="49"/>
    </row>
    <row r="145" spans="1:7">
      <c r="A145" s="45"/>
      <c r="B145" s="46"/>
      <c r="C145" s="46"/>
      <c r="D145" s="46"/>
      <c r="E145" s="46"/>
      <c r="F145" s="46">
        <f t="shared" si="43"/>
        <v>0</v>
      </c>
      <c r="G145" s="49"/>
    </row>
    <row r="146" spans="1:7">
      <c r="A146" s="45"/>
      <c r="B146" s="46"/>
      <c r="C146" s="46"/>
      <c r="D146" s="46"/>
      <c r="E146" s="46"/>
      <c r="F146" s="46">
        <f t="shared" si="43"/>
        <v>0</v>
      </c>
      <c r="G146" s="49"/>
    </row>
    <row r="147" spans="1:7">
      <c r="A147" s="45"/>
      <c r="B147" s="46"/>
      <c r="C147" s="46"/>
      <c r="D147" s="46"/>
      <c r="E147" s="46"/>
      <c r="F147" s="46">
        <f t="shared" si="43"/>
        <v>0</v>
      </c>
      <c r="G147" s="49"/>
    </row>
    <row r="148" spans="1:7">
      <c r="A148" s="45"/>
      <c r="B148" s="46"/>
      <c r="C148" s="46"/>
      <c r="D148" s="46"/>
      <c r="E148" s="46"/>
      <c r="F148" s="46">
        <f t="shared" si="43"/>
        <v>0</v>
      </c>
      <c r="G148" s="49"/>
    </row>
    <row r="149" spans="1:7">
      <c r="A149" s="45"/>
      <c r="B149" s="46"/>
      <c r="C149" s="46"/>
      <c r="D149" s="46"/>
      <c r="E149" s="46"/>
      <c r="F149" s="46">
        <f t="shared" si="43"/>
        <v>0</v>
      </c>
      <c r="G149" s="49"/>
    </row>
    <row r="150" spans="1:7">
      <c r="A150" s="45"/>
      <c r="B150" s="46"/>
      <c r="C150" s="46"/>
      <c r="D150" s="46"/>
      <c r="E150" s="46"/>
      <c r="F150" s="46">
        <f t="shared" si="43"/>
        <v>0</v>
      </c>
      <c r="G150" s="49"/>
    </row>
    <row r="151" spans="1:7">
      <c r="A151" s="45"/>
      <c r="B151" s="46"/>
      <c r="C151" s="46"/>
      <c r="D151" s="46"/>
      <c r="E151" s="46"/>
      <c r="F151" s="46">
        <f t="shared" si="43"/>
        <v>0</v>
      </c>
      <c r="G151" s="49"/>
    </row>
    <row r="152" spans="1:7">
      <c r="A152" s="45"/>
      <c r="B152" s="46"/>
      <c r="C152" s="46"/>
      <c r="D152" s="46"/>
      <c r="E152" s="46"/>
      <c r="F152" s="46">
        <f t="shared" si="43"/>
        <v>0</v>
      </c>
      <c r="G152" s="49"/>
    </row>
    <row r="153" spans="1:7">
      <c r="A153" s="45"/>
      <c r="B153" s="46"/>
      <c r="C153" s="46"/>
      <c r="D153" s="46"/>
      <c r="E153" s="46"/>
      <c r="F153" s="46">
        <f t="shared" si="43"/>
        <v>0</v>
      </c>
      <c r="G153" s="49"/>
    </row>
    <row r="154" spans="1:7">
      <c r="A154" s="47"/>
      <c r="B154" s="48"/>
      <c r="C154" s="48"/>
      <c r="D154" s="48"/>
      <c r="E154" s="48"/>
      <c r="F154" s="48">
        <f t="shared" si="43"/>
        <v>0</v>
      </c>
      <c r="G154" s="50"/>
    </row>
  </sheetData>
  <sheetProtection formatCells="0" formatColumns="0" formatRows="0" insertRows="0" insertColumns="0" insertHyperlinks="0" deleteColumns="0" deleteRows="0" sort="0" autoFilter="0" pivotTables="0"/>
  <sortState ref="A11:G138">
    <sortCondition ref="G11:G138"/>
  </sortState>
  <mergeCells count="2">
    <mergeCell ref="A9:E9"/>
    <mergeCell ref="H2:Q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2" sqref="F2"/>
    </sheetView>
  </sheetViews>
  <sheetFormatPr defaultColWidth="10" defaultRowHeight="16.8" outlineLevelRow="5" outlineLevelCol="5"/>
  <sheetData>
    <row r="1" spans="1:6">
      <c r="A1" t="s">
        <v>24</v>
      </c>
      <c r="F1" t="s">
        <v>29</v>
      </c>
    </row>
    <row r="2" spans="1:5">
      <c r="A2" t="s">
        <v>143</v>
      </c>
      <c r="B2" t="s">
        <v>0</v>
      </c>
      <c r="C2" t="s">
        <v>1</v>
      </c>
      <c r="D2" t="s">
        <v>2</v>
      </c>
      <c r="E2" t="s">
        <v>3</v>
      </c>
    </row>
    <row r="3" spans="1:5">
      <c r="A3" t="s">
        <v>161</v>
      </c>
      <c r="B3" t="s">
        <v>0</v>
      </c>
      <c r="C3" t="s">
        <v>5</v>
      </c>
      <c r="D3" t="s">
        <v>6</v>
      </c>
      <c r="E3" t="s">
        <v>7</v>
      </c>
    </row>
    <row r="4" spans="1:5">
      <c r="A4" t="s">
        <v>150</v>
      </c>
      <c r="B4" t="s">
        <v>0</v>
      </c>
      <c r="C4" t="s">
        <v>1</v>
      </c>
      <c r="D4" t="s">
        <v>11</v>
      </c>
      <c r="E4" t="s">
        <v>12</v>
      </c>
    </row>
    <row r="5" spans="1:5">
      <c r="A5" t="s">
        <v>141</v>
      </c>
      <c r="B5" t="s">
        <v>4</v>
      </c>
      <c r="C5" t="s">
        <v>1</v>
      </c>
      <c r="D5" t="s">
        <v>20</v>
      </c>
      <c r="E5" t="s">
        <v>3</v>
      </c>
    </row>
    <row r="6" spans="1:5">
      <c r="A6" t="s">
        <v>139</v>
      </c>
      <c r="B6" t="s">
        <v>9</v>
      </c>
      <c r="C6" t="s">
        <v>1</v>
      </c>
      <c r="D6" t="s">
        <v>2</v>
      </c>
      <c r="E6" t="s">
        <v>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38" zoomScaleNormal="38" workbookViewId="0">
      <selection activeCell="E61" sqref="E61"/>
    </sheetView>
  </sheetViews>
  <sheetFormatPr defaultColWidth="10" defaultRowHeight="16.8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WWO_wpscloud_20251212165637-b50732bba0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2407FRK8EC</dc:creator>
  <cp:lastModifiedBy>聪·真鸡儿冷·聪</cp:lastModifiedBy>
  <dcterms:created xsi:type="dcterms:W3CDTF">2025-06-01T15:36:00Z</dcterms:created>
  <dcterms:modified xsi:type="dcterms:W3CDTF">2026-04-03T15:59:52Z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9093FF605FD13B79F572CF69D249B826_43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